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8_{B93FBF37-3A4D-4974-873B-188204B2F794}" xr6:coauthVersionLast="47" xr6:coauthVersionMax="47" xr10:uidLastSave="{00000000-0000-0000-0000-000000000000}"/>
  <bookViews>
    <workbookView xWindow="-110" yWindow="-110" windowWidth="19420" windowHeight="10300" xr2:uid="{7175BF1A-A7ED-4A27-86D7-67C95B23EC4E}"/>
  </bookViews>
  <sheets>
    <sheet name="2022-2025" sheetId="3" r:id="rId1"/>
  </sheets>
  <externalReferences>
    <externalReference r:id="rId2"/>
    <externalReference r:id="rId3"/>
    <externalReference r:id="rId4"/>
    <externalReference r:id="rId5"/>
    <externalReference r:id="rId6"/>
    <externalReference r:id="rId7"/>
  </externalReferences>
  <definedNames>
    <definedName name="a">#REF!</definedName>
    <definedName name="aa">#REF!</definedName>
    <definedName name="aaa">#REF!</definedName>
    <definedName name="aaaa">#REF!</definedName>
    <definedName name="Excel_BuiltIn_Print_Area_10" localSheetId="0">#REF!</definedName>
    <definedName name="Excel_BuiltIn_Print_Area_10">#REF!</definedName>
    <definedName name="Excel_BuiltIn_Print_Area_8" localSheetId="0">#REF!</definedName>
    <definedName name="Excel_BuiltIn_Print_Area_8">#REF!</definedName>
    <definedName name="Excel_BuiltIn_Print_Titles_7" localSheetId="0">#REF!</definedName>
    <definedName name="Excel_BuiltIn_Print_Titles_7">#REF!</definedName>
    <definedName name="_1Excel_BuiltIn_Print_Titles_8_1" localSheetId="0">#REF!</definedName>
    <definedName name="_2Excel_BuiltIn_Print_Titles_8_1">#REF!</definedName>
    <definedName name="_xlnm.Print_Area" localSheetId="0">'2022-2025'!$A$1:$AK$275</definedName>
    <definedName name="_xlnm.Print_Titles" localSheetId="0">'2022-2025'!$3:$7</definedName>
    <definedName name="sri">#REF!</definedName>
    <definedName name="yuni">#REF!</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61" i="3" l="1"/>
  <c r="A164" i="3"/>
  <c r="A167" i="3"/>
  <c r="AJ116" i="3"/>
  <c r="AJ113" i="3"/>
  <c r="A99" i="3"/>
  <c r="A107" i="3"/>
  <c r="A113" i="3"/>
  <c r="A116" i="3"/>
</calcChain>
</file>

<file path=xl/sharedStrings.xml><?xml version="1.0" encoding="utf-8"?>
<sst xmlns="http://schemas.openxmlformats.org/spreadsheetml/2006/main" count="467" uniqueCount="322">
  <si>
    <t>Lokasi</t>
  </si>
  <si>
    <t>Pengguna Jasa</t>
  </si>
  <si>
    <t>Kontrak</t>
  </si>
  <si>
    <t>Tgl. Selesai Menurut</t>
  </si>
  <si>
    <t>No.</t>
  </si>
  <si>
    <t>Nama Paket Pekerjaan</t>
  </si>
  <si>
    <t>Nama</t>
  </si>
  <si>
    <t>Alamat</t>
  </si>
  <si>
    <t xml:space="preserve">No./Tanggal </t>
  </si>
  <si>
    <t>Nilai (Rp.)</t>
  </si>
  <si>
    <t>BA Peny. Lap. Akhir</t>
  </si>
  <si>
    <t>1.</t>
  </si>
  <si>
    <t>2.</t>
  </si>
  <si>
    <t>4.</t>
  </si>
  <si>
    <t>5.</t>
  </si>
  <si>
    <t>6.</t>
  </si>
  <si>
    <t>7.</t>
  </si>
  <si>
    <t>8.</t>
  </si>
  <si>
    <t>9.</t>
  </si>
  <si>
    <t>10.</t>
  </si>
  <si>
    <t>Tata Lingkungan</t>
  </si>
  <si>
    <t>Bandung</t>
  </si>
  <si>
    <t>Jakarta</t>
  </si>
  <si>
    <t>Kalimantan Timur</t>
  </si>
  <si>
    <t>DKI Jakarta</t>
  </si>
  <si>
    <t>Medan</t>
  </si>
  <si>
    <t>Indonesia</t>
  </si>
  <si>
    <t>dan Papua</t>
  </si>
  <si>
    <t>Banten</t>
  </si>
  <si>
    <t>Klasifikasi/Sub Klasifikasi</t>
  </si>
  <si>
    <t>Manajemen Konstruksi Pembangunan Tempat Pengolahan Sampah Terpadu 1 Kawasan Inti Pusat Pemerintahan lbu Kota Negara (KIPP IKN)</t>
  </si>
  <si>
    <t>Sepaku</t>
  </si>
  <si>
    <t>Satuan Kerja Pelaksanaan Prasarana Permukiman Wilayah I Provinsi Kalimantan Timur, Balai Prasarana Permukiman Wilayah Kalimantan Timur, Dirjen Cipta Karya, Kementerian PUPR</t>
  </si>
  <si>
    <t>Samarinda</t>
  </si>
  <si>
    <t>HK.02.01/Cb24.5.2/1377</t>
  </si>
  <si>
    <t>28 Desember 2022</t>
  </si>
  <si>
    <t>Manajemen Konstruksi IPAL &amp; Jaringan Perpipaan Kawasan Inti Pusat Pemerintahan Ibu Kota Negara (KIPP IKN)</t>
  </si>
  <si>
    <t>Satuan Kerja Pelaksanaan Prasarana Permukiman Wilayah II Provinsi Kalimantan Timur, Balai Prasarana Permukiman Wilayah Kalimantan Timur, Dirjen Cipta Karya, Kementerian PUPR</t>
  </si>
  <si>
    <t xml:space="preserve">HK.02 03-Cb24.6.1/2022/003 </t>
  </si>
  <si>
    <t>8 Desember 2022</t>
  </si>
  <si>
    <t>Solid Waste Treatment Plant (SWTP) Design and Advisory Services during the Construction and Maintenance Period-Mandalika Urban Tourism Infrastructure Project (MUTIP), AIIB Loan No.: L0069A</t>
  </si>
  <si>
    <t>Mandalika</t>
  </si>
  <si>
    <t>PT Pengembangan Pariwisata Indonesia (Persero) Indonesia Tourism Development (ITDC)</t>
  </si>
  <si>
    <t xml:space="preserve">Nusa Dua </t>
  </si>
  <si>
    <t>265/KONTRAK/ITDC.05-PROC/Xll/2022</t>
  </si>
  <si>
    <t>27 Bulan sampai OM</t>
  </si>
  <si>
    <t>22 Desember 2022</t>
  </si>
  <si>
    <t>15 Bulan Construction</t>
  </si>
  <si>
    <t>Kajian Timbulan, Komposisi, dan Karakteristik Sampah Provinsi DKI Jakarta</t>
  </si>
  <si>
    <t>Dinas Lingkungan Hidup Provinsi DKI Jakarta</t>
  </si>
  <si>
    <t>1480/LH.00.00</t>
  </si>
  <si>
    <t>7 Juli 2022</t>
  </si>
  <si>
    <t>Project Preparation Grant for the Preparation of Proposed Indonesia Sustainable Cities Impact Project/Jasa Konsultansi Penyusunan Dokumen Proyek Persiapan Hibah Fasilitas Lingkungan Global - Program Dampak Kota Berkelanjutan di Indonesia (Grant No.: TF0B5661)</t>
  </si>
  <si>
    <t>Deputy For Regional Development Ministry of National
Development Planning/National Development Planning Agency/ Kementerian PPN/Bappenas</t>
  </si>
  <si>
    <t>O87/SPK/PPK/06.O2.2/07/2022</t>
  </si>
  <si>
    <t>6 Juli 2022</t>
  </si>
  <si>
    <t>Penyusunan Studi Kelayakan (Feasibility Study) dan Rancangan Awal (Basic Design) Tempat Pengolahan Sampah Terpadu (TPST) Kota Depok, Kota Bandung, Kabupaten Indramayu dan Kabupaten Cianjur</t>
  </si>
  <si>
    <t>Kota Depok, Kota Bandung, Kabupaten Indramayu dan Kabupaten Cianjur</t>
  </si>
  <si>
    <t>Direktorat Jenderal Cipta Karya, Satker Direktorat Sanitasi, Kementerian PUPR</t>
  </si>
  <si>
    <t>HK.02.03/PPKII-SANITASI/SPK/004/V/2023</t>
  </si>
  <si>
    <t>16 Mei 2023</t>
  </si>
  <si>
    <t>12 Sept 2023</t>
  </si>
  <si>
    <t>Bantuan Teknis Penyusunan Rencana Induk Sistem Pengelolaan Sampah di Kabupaten Tuban</t>
  </si>
  <si>
    <t>Kab. Tuban</t>
  </si>
  <si>
    <t>Direktorat Jenderal Cipta Karya, Balai Prasana Permukiman Wilayah Jawa Timur, Kementerian PUPR</t>
  </si>
  <si>
    <t>Surabaya</t>
  </si>
  <si>
    <t>341/SPK/Cb16.4.2/2023</t>
  </si>
  <si>
    <t>04 Agustus 2023</t>
  </si>
  <si>
    <t>1 Maret 2024</t>
  </si>
  <si>
    <t>Penyusunan Rencana Induk Sistem Pengelolaan Sampah di Kota Cilegon</t>
  </si>
  <si>
    <t>Kota Cilegon</t>
  </si>
  <si>
    <t>HK.02.01-Cb11/Prc/160</t>
  </si>
  <si>
    <t>1 Agustus 2023</t>
  </si>
  <si>
    <t>28 Des 2023</t>
  </si>
  <si>
    <t>Penyusunan Studi Kelayakan (Feasibility Study) dan Rancangan Awal (Basic Design) Tempat Pengolahan Sampah Terpadu (TPST) Kota Cilegon, Kota Padang, Kabupaten Tuban, dan Kabupaten Gianyar</t>
  </si>
  <si>
    <t>Kota Cilegon, Kota Padang, Kabupaten Tuban, dan Kabupaten Gianyar</t>
  </si>
  <si>
    <t>HK.02.03/PPKII-SANITASI/SPK/003/V/2023</t>
  </si>
  <si>
    <t>12 Sept. 2023</t>
  </si>
  <si>
    <t>Direktorat Jenderal Cipta Karya, Balai Prasana Permukiman Wilayah Banten, Kementerian PUPR</t>
  </si>
  <si>
    <t>Supervisi Pembangunan IPLT Samosir</t>
  </si>
  <si>
    <t>Kota Medan</t>
  </si>
  <si>
    <t>Balai Prasarana Permukiman Wilayah Sumatera Utara, kementerian PUPR</t>
  </si>
  <si>
    <t>HK.02.03-Cb2/SV.04/PPK-SAN/PPPWIII-SU/2023</t>
  </si>
  <si>
    <t>14 September 2023</t>
  </si>
  <si>
    <t>Supervisi Pembangunan TPA Samosir</t>
  </si>
  <si>
    <t>HK.02.03-Cb2/SV.02/PPK-SAN/PPPWIII-SU/2023</t>
  </si>
  <si>
    <t>21 Juni 2023</t>
  </si>
  <si>
    <t>22 Des.2023</t>
  </si>
  <si>
    <t>16 April 2024</t>
  </si>
  <si>
    <t>I</t>
  </si>
  <si>
    <t>Konsultan Manajemen Konstruksi Pembangunan SPAM KSPN Wakatobi</t>
  </si>
  <si>
    <t>Manajen Kostruksi</t>
  </si>
  <si>
    <t>Wakatobi</t>
  </si>
  <si>
    <t>Balai Prasarana Permukiman Wilayah Sulawesi Tenggara, Satker Pelaksanaan Prasarana Permukiman Prov. Sulawesi Tenggara, Kementerian PUPR</t>
  </si>
  <si>
    <t>Kendari</t>
  </si>
  <si>
    <t>HK.02,01-CB.30/SATKER-ST/AM-KONSULTAN/67</t>
  </si>
  <si>
    <t>29 Des 2023</t>
  </si>
  <si>
    <t>RK002</t>
  </si>
  <si>
    <t>3 Februari 2023</t>
  </si>
  <si>
    <t>Pengadaan Konsultan Pengawas Pekerjaan Relokasi dan Pemutusan Pipa Terdampak Proyek Stasiun MRT Mangga Besar</t>
  </si>
  <si>
    <t>Supervisi</t>
  </si>
  <si>
    <t>PAM JAYA</t>
  </si>
  <si>
    <t>e-404/PD.00.02</t>
  </si>
  <si>
    <t>13 Mei 2023</t>
  </si>
  <si>
    <t>10 Februari 2023</t>
  </si>
  <si>
    <t>Supervisi Pembangunan SPAM KSPN Mandalika Tahap II Kabupaten Lombok</t>
  </si>
  <si>
    <t>Kab. Lombok</t>
  </si>
  <si>
    <t>Balai Prasarana Permukiman Wilayah NTB, Satker Pelaksanaan Prasarana Permukiman Prov. NTB, Kementerian PUPR</t>
  </si>
  <si>
    <t>Mataram</t>
  </si>
  <si>
    <t>HK.03.01-Cb18.4.3/696</t>
  </si>
  <si>
    <t>20 Maret 2024</t>
  </si>
  <si>
    <t>25 Juli 2023</t>
  </si>
  <si>
    <t>Pengadaan Konsultan Pengawas Pekerjaan Lanjutan Pemasangan Pipa Distribusi Komplek Villa Kapuk Mas (VIKAMAS)</t>
  </si>
  <si>
    <t>003/PJK/DT/SPK/JK/X/2022</t>
  </si>
  <si>
    <t>14 Nov. 2022</t>
  </si>
  <si>
    <t>RK 002</t>
  </si>
  <si>
    <t>12 Oktober 2022</t>
  </si>
  <si>
    <t>April 2022</t>
  </si>
  <si>
    <t>Perencanaan</t>
  </si>
  <si>
    <t>Sulawesi</t>
  </si>
  <si>
    <t>II</t>
  </si>
  <si>
    <t>Supervisi Unit Pengerukan Residu di KIPP dan Pengadaan - Pengoperasian Sarana Pengangkutan Sampah dan Residu di KIPP IKN</t>
  </si>
  <si>
    <t>Balai Prasarana Permukiman Wilayah Kalimantan Timur, Kementerian PUPR</t>
  </si>
  <si>
    <t>HK.02.01/Cb24.5.9/026</t>
  </si>
  <si>
    <t>22 Januari 2024</t>
  </si>
  <si>
    <t>April 2025</t>
  </si>
  <si>
    <t>Pekerjaan Jasa Detail Engineering Design Proyek Paket Pekerjaan Konstruksi Terintegrasi Rancang dan Bangun (design and Build) Jaringan Air Bersih dan Air Limbah Klaster 1 Fase 2</t>
  </si>
  <si>
    <t>DED</t>
  </si>
  <si>
    <t>Kab. Batang</t>
  </si>
  <si>
    <t>PT. Nindya Karya</t>
  </si>
  <si>
    <t>0009/PKS/DSCM/01/2024</t>
  </si>
  <si>
    <t>12 Januari 2024</t>
  </si>
  <si>
    <t>Des 2024</t>
  </si>
  <si>
    <t>Pekerjaan Pengadaan Jasa Konsultansi Pengawasan Pembangunan IPAL di Kawasan TB Simatupang</t>
  </si>
  <si>
    <t>PERUMDA PALJAYA</t>
  </si>
  <si>
    <t>130/PPKIPALTBS/X/2024</t>
  </si>
  <si>
    <t>24 Oktober 2024</t>
  </si>
  <si>
    <t>April 2026</t>
  </si>
  <si>
    <t>Solid Waste Management for Sustainable Urban Development Project Indonesia (SWM-SUD)</t>
  </si>
  <si>
    <t>EnviroSolution &amp; Consulting Pte Ltd</t>
  </si>
  <si>
    <t>Singapore</t>
  </si>
  <si>
    <t>IDA23.1014-J.01/L00043/AY/NL</t>
  </si>
  <si>
    <t>5 April 2024</t>
  </si>
  <si>
    <t>Maret 2025</t>
  </si>
  <si>
    <t>Supervisi Pelaksanaan Percepatan Layanan Air Limbah Domestik (INPRES) Tangki Septik dan Sarana Pendukung Provinsi Sulawesi Barat</t>
  </si>
  <si>
    <t>Sulawesi Barat</t>
  </si>
  <si>
    <t>Balai Prasarana Permukiman Wilayah Sulbar, Kementerian PUPR</t>
  </si>
  <si>
    <t>Sulbar</t>
  </si>
  <si>
    <t>PB0201-Cb27.4.2/294</t>
  </si>
  <si>
    <t>30 September 2024</t>
  </si>
  <si>
    <t>Manajemen Konstruksi Pembangunan Sistem Hilir Tahap I SPAM Regional Jatiluhur I Provinsi DKI Jakarta</t>
  </si>
  <si>
    <t>Satker Pelaksanaan Prasarana Permukiman Wilayah II Jakarta Metropolitan, Kementerian PUPR</t>
  </si>
  <si>
    <t>HK0203/SPV/PPPWJM2-PPK.3/VII/83/2023</t>
  </si>
  <si>
    <t>4 Juli 2023</t>
  </si>
  <si>
    <t>Fasilitas Penyiapan Proyek dan Pelaksanaan Transaksi Pada Proyek Kerjasama Pemerintah dan Badan Usaha Tempat Pemrosesan Akhir Sampah Manggar</t>
  </si>
  <si>
    <t>Manggar</t>
  </si>
  <si>
    <t>KPBU</t>
  </si>
  <si>
    <t xml:space="preserve">PT Sarana Multi Infrastruktur </t>
  </si>
  <si>
    <t>PPJ-097/SMI/1123</t>
  </si>
  <si>
    <t>13 November 2023</t>
  </si>
  <si>
    <t>Febr. 2026</t>
  </si>
  <si>
    <t>Jasa Konsultansi Studi Kelayakan Water Treatment Plant dan Perencanaan Reservoir Air Bersih di Kawasan Industri Pulogadung</t>
  </si>
  <si>
    <t>FS</t>
  </si>
  <si>
    <t>PT. Jakarta Industrial Estate</t>
  </si>
  <si>
    <t>Pulogadung</t>
  </si>
  <si>
    <t>3135/SP/2024</t>
  </si>
  <si>
    <t>20 Juni 2024</t>
  </si>
  <si>
    <t>Sept 2024</t>
  </si>
  <si>
    <t>III</t>
  </si>
  <si>
    <t>SEKTOR JALAN DAN JEMBATAN</t>
  </si>
  <si>
    <t>SEKTOR AIR MINUM</t>
  </si>
  <si>
    <t>SEKTOR AIR LIMBAH, SAMPAH DAN SANITASI</t>
  </si>
  <si>
    <t xml:space="preserve">Penyelidikan Tanah dan DED Penanganan Pergerakan Tanah Proyek Jalan ROW 50-4 BSD Barat Tahap 2-3 </t>
  </si>
  <si>
    <t>Tangerang</t>
  </si>
  <si>
    <t>PT Bumi Serpong Damai Tbk</t>
  </si>
  <si>
    <t>SPK-PSS/UTP-002/BSD/I/2024</t>
  </si>
  <si>
    <t>April 2024</t>
  </si>
  <si>
    <t>26 April 24</t>
  </si>
  <si>
    <t>29 Januari 2024</t>
  </si>
  <si>
    <t>DED Re-Alignment Overpass Pagedangan Akibat Bebas Baru</t>
  </si>
  <si>
    <t>SPK-PSS/UTP-018/BSD/XII/2023</t>
  </si>
  <si>
    <t>Jan 2024</t>
  </si>
  <si>
    <t>31 Jan 24</t>
  </si>
  <si>
    <t>01 Desember 2023</t>
  </si>
  <si>
    <t>Jasa Konsultan Pengawas  1,2,3 Dan Jembatan 10</t>
  </si>
  <si>
    <t>Pengawasan</t>
  </si>
  <si>
    <t>Kalimantan Tengah</t>
  </si>
  <si>
    <t>PT Multi Tambangjaya Utama</t>
  </si>
  <si>
    <t>2410011810</t>
  </si>
  <si>
    <t>Nov 2022</t>
  </si>
  <si>
    <t>24 Nov 22</t>
  </si>
  <si>
    <t>28 Juni 2022</t>
  </si>
  <si>
    <t>DED Overpass Pagedangan BSD Barat Tahap II-3</t>
  </si>
  <si>
    <t xml:space="preserve">PT Bumi Serpong Damai </t>
  </si>
  <si>
    <t>SPK-PSS/TP-001/BSD/I/2022</t>
  </si>
  <si>
    <t>Mei 2022</t>
  </si>
  <si>
    <t>11 Januari 2022</t>
  </si>
  <si>
    <t>Padalarang</t>
  </si>
  <si>
    <t>SEKTOR INFRASTRUKTUR DAN KAWASAN</t>
  </si>
  <si>
    <t>Penyelidikan Tanah dan DED Penanganan Pergerakan Tanah Proyek Mandrain Selatan</t>
  </si>
  <si>
    <t>SPK-PSS/UTP-003/BSD/I/2024</t>
  </si>
  <si>
    <t>Penyelidikan Tanah dan DED Penanganan Pergerakan Tanah Proyek Jalan ROW 50-4 BSD Barat Tahap 2-3</t>
  </si>
  <si>
    <t>Jan. 2024</t>
  </si>
  <si>
    <t>Survey Topografi Penyelidikan Tanah dan DED Re-Infra Planning Zona DE, BSD Barat Tahap 2-3</t>
  </si>
  <si>
    <t>Survey dan DED</t>
  </si>
  <si>
    <t>SPK-PSS/UTP-013/BSD/IX/2023</t>
  </si>
  <si>
    <t>29 September 2023</t>
  </si>
  <si>
    <t>Jasa Konsultan Pengawas Project Segment 1, 2, 3 dan Jembatan</t>
  </si>
  <si>
    <t>PT. Multi Tambangjaya Utama</t>
  </si>
  <si>
    <t>Nov. 2022</t>
  </si>
  <si>
    <t>Konsultan Pengawas Project Infrastructure di Desa Teluk Betung, Kecamatan Karau Kuala, Kabupaten Barito Selatan, Kalimantan Tengah</t>
  </si>
  <si>
    <t>2120005503</t>
  </si>
  <si>
    <t>Perencanaan DED Reservoar Theme Park I dan II BSD Tahap II-3</t>
  </si>
  <si>
    <t>SPK-PSS/TP-014/BSD/XI/2022</t>
  </si>
  <si>
    <t>April 2023</t>
  </si>
  <si>
    <t>30 November 2022</t>
  </si>
  <si>
    <t>Review Drainase Eksisting dan Master Plan Infrastruktur dan Air Bersih Area Selatan Paramount Land Gading, Kawasan South</t>
  </si>
  <si>
    <t>Master Plan</t>
  </si>
  <si>
    <t>PT Paramount Enterprise International</t>
  </si>
  <si>
    <t>KSL/PLD/22/09/22911</t>
  </si>
  <si>
    <t>Des. 2022</t>
  </si>
  <si>
    <t>29 September 2022</t>
  </si>
  <si>
    <t>SEKTOR KETENAGALISTRIKAN</t>
  </si>
  <si>
    <t>IV</t>
  </si>
  <si>
    <t>DATA PENGALAMAN PERUSAHAAN PT. ARKONIN ENGINEERING MP</t>
  </si>
  <si>
    <t>Project Implementation and Supervision Consultant (Semarang) CISP-CS-04 Loan No. 4434-INO</t>
  </si>
  <si>
    <t>Kota Semarang</t>
  </si>
  <si>
    <t>Satker Pelaksanaan Prasarana Permukiman Wilayah III Provinsi Jawa Tengah, Kementerian PU</t>
  </si>
  <si>
    <t>Jawa</t>
  </si>
  <si>
    <t>Tengah</t>
  </si>
  <si>
    <t>HK.02.03/MK/BPPWJTG-PPK.SAN3.I/III/2025/1</t>
  </si>
  <si>
    <t>14 April 2025</t>
  </si>
  <si>
    <t>Juni 2030</t>
  </si>
  <si>
    <t>Proyek Low Rise Apartment Zona DE</t>
  </si>
  <si>
    <t>SPK-CM/CE4400003104/ADE/II/2025</t>
  </si>
  <si>
    <t>20 Februari 2025</t>
  </si>
  <si>
    <t>Pre-Feasibility Study of Refuse-Derived Fuel (RDF) Plant Development in Bukittinggi and Jambi, Indonesia</t>
  </si>
  <si>
    <t>Bukittinggi dan Jambi</t>
  </si>
  <si>
    <t>GIZ</t>
  </si>
  <si>
    <t>83481415</t>
  </si>
  <si>
    <t>5 Maret 2025</t>
  </si>
  <si>
    <t>Juni 2025</t>
  </si>
  <si>
    <t>Consultancy of Solid Waste Management Project Readness Assessment and Assistenace (Cirebon and Bogor Regency)</t>
  </si>
  <si>
    <t>Manajemen Proyek</t>
  </si>
  <si>
    <t>Cirebon dan Bogor</t>
  </si>
  <si>
    <t>83482718</t>
  </si>
  <si>
    <t>10 Maret 2025</t>
  </si>
  <si>
    <t>V</t>
  </si>
  <si>
    <t>VI</t>
  </si>
  <si>
    <t>Jasa Konsultan Teknis Penyiapan dan Transaksi Proyek KPBU RSUD Wangaya Kota Denpasar</t>
  </si>
  <si>
    <t>Denpasar</t>
  </si>
  <si>
    <t>PT Penjamin Infrastruktur Indonesia (persero)</t>
  </si>
  <si>
    <t>PBJ-295/PII/0525</t>
  </si>
  <si>
    <t>19 Mei 2025</t>
  </si>
  <si>
    <t>Okt 2027</t>
  </si>
  <si>
    <t>DED Infrastruktur dan Utilitas Cluster R501 (13.3Ha) Proyek Kota Baru Parahyangan Padalarang</t>
  </si>
  <si>
    <t>PT. Intimitra Jayainvesta</t>
  </si>
  <si>
    <t>005/IJI/TECH-LOA/I/2025</t>
  </si>
  <si>
    <t>16 Januari 2025</t>
  </si>
  <si>
    <t>Mei 2025</t>
  </si>
  <si>
    <t>Manajemen Konstruksi untuk Pekerjaan Pembangunan Infrastruktur Pengendalian Banjir di Taman Bendera Pusaka</t>
  </si>
  <si>
    <t>Majanemen Konstruksi</t>
  </si>
  <si>
    <t>PT Toba Pengembang Sejahtera</t>
  </si>
  <si>
    <t>453/TPS/DIR/VIII/2025</t>
  </si>
  <si>
    <t>28 Agustus 2025</t>
  </si>
  <si>
    <t>Des 2025</t>
  </si>
  <si>
    <t>Jasa Konsultan Pendamping untuk Melakukan Monitoring dan Evaluasi atas Pelaksanaan Penyaluran Pinjaman Daerah PT Sarana Multi Infrastruktur (Persero) Kepada Pemerintah Kabupaten Enrekang dalam Rangka Program Pemulihan Ekonomi Nasional</t>
  </si>
  <si>
    <t>MONEV</t>
  </si>
  <si>
    <t>Kab. Enrekang</t>
  </si>
  <si>
    <t>PT Sarana Multi Infrastruktur (Persero)</t>
  </si>
  <si>
    <t>Jkaarta</t>
  </si>
  <si>
    <t>20241200300/SMI/DOK/DUP-SPK/0525</t>
  </si>
  <si>
    <t>24 Januari 2025</t>
  </si>
  <si>
    <t>Detail Engineering Design Laboratory, Farmer and Cluster Pond Infrastructure Improvemnet for Shirmp Aquaculture Project (IISAP) ADB LOAN No. 4283-INO</t>
  </si>
  <si>
    <t>Kementerian Kelautan dan Perikanan</t>
  </si>
  <si>
    <t>1702/DJPB.IISAP/KONTRAK/V/2024</t>
  </si>
  <si>
    <t>30 Mei 2024</t>
  </si>
  <si>
    <t>Nov 2024</t>
  </si>
  <si>
    <t>Jepara, Ujung Bate, Takalar, Situbondo, Serang, Karang Asem</t>
  </si>
  <si>
    <t>Indonesian</t>
  </si>
  <si>
    <t>Penyusunan Standar Desain Instalasi Pengolahan Sampah (IPS) untuk Indonesia</t>
  </si>
  <si>
    <t>Satker Direktorat Sanitasi, Kementerian PUPR</t>
  </si>
  <si>
    <t>HK.02.03/PPKII-SANITASI/SPK/003/VII/2024</t>
  </si>
  <si>
    <t>3 Juli 2024</t>
  </si>
  <si>
    <t>Juli 2025</t>
  </si>
  <si>
    <t>Pekerjaan DED Infrastruktur dan Utilitas Area Komersial di RC4-1C Proyek Kota Baru Parahyangan Padalarang</t>
  </si>
  <si>
    <t>PT Belaputera Intiland</t>
  </si>
  <si>
    <t>168/BI/TECH-LOA/XI/2024</t>
  </si>
  <si>
    <t>14 November 2024</t>
  </si>
  <si>
    <t>Febr. 2025</t>
  </si>
  <si>
    <t>Proyek KPBU RSUD Samarinda</t>
  </si>
  <si>
    <t>PPJ-019/SMI/0324</t>
  </si>
  <si>
    <t>4 Maret 2024</t>
  </si>
  <si>
    <t>Febr.2026</t>
  </si>
  <si>
    <t>Pekerjaan DED Infrastruktur dan Utilitas Tatar Surawisesa (R33) (10 Ha) Proyek Kota Baru Parahyangan Padalarang</t>
  </si>
  <si>
    <t>PT Bela Parahyangan Investindo</t>
  </si>
  <si>
    <t>096/BPI/TECH-LOA/III/2024</t>
  </si>
  <si>
    <t>12 Maret 2024</t>
  </si>
  <si>
    <t>Juni 2024</t>
  </si>
  <si>
    <t>SEKTOR GEDUNG DAN INFRASTRUKTUR</t>
  </si>
  <si>
    <t>Jasa Konsultan Manajemen Proyek Penyelenggaraan Pusat Data Nasional</t>
  </si>
  <si>
    <t>Direktorat Jenderal Aplikasi Informatika Kementerian Komunikasi dan Informasi</t>
  </si>
  <si>
    <t>19/DJAI.3-PPKI/KU.02.06/SP/10/2023</t>
  </si>
  <si>
    <t>Monitoring dan Evaluasi Pembangunan PJUTS Wilayah Indonesia 5</t>
  </si>
  <si>
    <t>Direktorat Jenderal Energi Baru, Terbarukan, Dan Konservasi Energi, Kementerian Energi dan Sumber Daya Mineral RI</t>
  </si>
  <si>
    <t>04.SP /PPK.APDAL.PJlITS-5/D}E/2023</t>
  </si>
  <si>
    <t>16 Agustus 2023</t>
  </si>
  <si>
    <t>Des 2023</t>
  </si>
  <si>
    <t xml:space="preserve">Jasa Layanan Konsultan Pendamping untuk Melakukan Monitoring dan Evaluasi atas Pelaksanaan Penyaluran Pinjaman Daerah PT Sarana Multi Infrastruktur (Persero) Kepada Pemerintah Daerah Dalam Rangka Program Pemulihan Ekonomi Nasional untuk Wilayah Sulawesi (PEN 05) </t>
  </si>
  <si>
    <t>PT. Sarana Multi Infrastruktur (Persero)</t>
  </si>
  <si>
    <t xml:space="preserve">PPJ-065/SMI/0623 </t>
  </si>
  <si>
    <t>01/KONTRAK PEN/AEMP/DIR/Vl/2023</t>
  </si>
  <si>
    <t>16 Juni 2023</t>
  </si>
  <si>
    <t xml:space="preserve">Jasa Layanan Konsultan Pendamping untuk Melakukan Monitoring dan Evaluasi atas Pelaksanaan Penyaluran Pinjaman Daerah PT Sarana Multi Infrastruktur (Persero) Kepada Pemerintah Daerah Dalam Rangka Program Pemulihan Ekonomi Nasional untuk Wilayah Kalimantan, Maluku Dan Papua (PEN 04) </t>
  </si>
  <si>
    <t xml:space="preserve">Kalimantan, Maluku </t>
  </si>
  <si>
    <t>PPJ-001/SMI/0123</t>
  </si>
  <si>
    <t>015/KONTRAK PEN/AEMP/DIR/1/2023</t>
  </si>
  <si>
    <t>06 Januari 2023</t>
  </si>
  <si>
    <t>Jasa Layanan Konsultan Pendamping Untuk Melakukan Monitoring dan Evaluasi atas Pelaksanaan Penyaluran Pinjaman Daerah PT Sarana Multi Infrastruktur (Persero) Kepada Pemerintah Kabupaten Tapanuli Utara Dalam Rangka Program Pemulihan Ekonomi Nasional</t>
  </si>
  <si>
    <t>Kab. Tapanuli Utara</t>
  </si>
  <si>
    <t>01/KONTRAK PEN/AEMP/DIR/I/2022</t>
  </si>
  <si>
    <t>20 Januari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</si>
</sst>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5" formatCode="&quot;$&quot;#,##0_);[Red]\(&quot;$&quot;#,##0\)"/>
    <numFmt numFmtId="169" formatCode="_(* #,##0_);_(* \(#,##0\);_(* &quot;-&quot;_);_(@_)"/>
    <numFmt numFmtId="171" formatCode="_(* #,##0.00_);_(* \(#,##0.00\);_(* &quot;-&quot;??_);_(@_)"/>
    <numFmt numFmtId="178" formatCode="_(* #,##0_);_(* \(#,##0\);_(* &quot;-&quot;??_);_(@_)"/>
    <numFmt numFmtId="179" formatCode="_-[$$-C09]* #,##0_-;\-[$$-C09]* #,##0_-;_-[$$-C09]* &quot;-&quot;_-;_-@_-"/>
    <numFmt numFmtId="180" formatCode="_(* #,##0_);_(* \(#,##0\);_(* \-_);_(@_)"/>
    <numFmt numFmtId="181" formatCode="_(* #,##0.00_);_(* \(#,##0.00\);_(* \-??_);_(@_)"/>
  </numFmts>
  <fonts count="13" x14ac:knownFonts="1">
    <font>
      <sz val="10"/>
      <name val="Arial"/>
      <family val="2"/>
    </font>
    <font>
      <sz val="10"/>
      <name val="Arial"/>
      <family val="2"/>
    </font>
    <font>
      <b/>
      <sz val="11"/>
      <name val="Tahoma"/>
      <family val="2"/>
    </font>
    <font>
      <sz val="11"/>
      <name val="Tahoma"/>
      <family val="2"/>
    </font>
    <font>
      <sz val="10"/>
      <name val="Tahoma"/>
      <family val="2"/>
    </font>
    <font>
      <b/>
      <sz val="10"/>
      <name val="Arial"/>
      <family val="2"/>
    </font>
    <font>
      <sz val="9"/>
      <name val="Arial"/>
      <family val="2"/>
    </font>
    <font>
      <sz val="8"/>
      <name val="Arial"/>
      <family val="2"/>
    </font>
    <font>
      <sz val="7"/>
      <name val="Arial"/>
      <family val="2"/>
    </font>
    <font>
      <sz val="11"/>
      <color theme="1"/>
      <name val="Calibri"/>
      <family val="2"/>
      <charset val="1"/>
      <scheme val="minor"/>
    </font>
    <font>
      <sz val="11"/>
      <color theme="1"/>
      <name val="Calibri"/>
      <family val="2"/>
      <scheme val="minor"/>
    </font>
    <font>
      <sz val="10"/>
      <color theme="1"/>
      <name val="Arial"/>
      <family val="2"/>
    </font>
    <font>
      <sz val="11"/>
      <color theme="1"/>
      <name val="Arial"/>
      <family val="2"/>
    </font>
  </fonts>
  <fills count="7">
    <fill>
      <patternFill patternType="none"/>
    </fill>
    <fill>
      <patternFill patternType="gray125"/>
    </fill>
    <fill>
      <patternFill patternType="solid">
        <fgColor theme="0"/>
        <bgColor indexed="64"/>
      </patternFill>
    </fill>
    <fill>
      <patternFill patternType="solid">
        <fgColor rgb="FF7CC3D6"/>
        <bgColor indexed="15"/>
      </patternFill>
    </fill>
    <fill>
      <patternFill patternType="solid">
        <fgColor rgb="FF92D050"/>
        <bgColor indexed="64"/>
      </patternFill>
    </fill>
    <fill>
      <patternFill patternType="solid">
        <fgColor theme="8" tint="0.59996337778862885"/>
        <bgColor indexed="64"/>
      </patternFill>
    </fill>
    <fill>
      <patternFill patternType="solid">
        <fgColor rgb="FF7CC3D6"/>
        <bgColor indexed="64"/>
      </patternFill>
    </fill>
  </fills>
  <borders count="28">
    <border>
      <left/>
      <right/>
      <top/>
      <bottom/>
      <diagonal/>
    </border>
    <border>
      <left/>
      <right style="double">
        <color indexed="64"/>
      </right>
      <top/>
      <bottom/>
      <diagonal/>
    </border>
    <border>
      <left/>
      <right style="thin">
        <color indexed="64"/>
      </right>
      <top/>
      <bottom/>
      <diagonal/>
    </border>
    <border>
      <left style="double">
        <color indexed="64"/>
      </left>
      <right/>
      <top/>
      <bottom/>
      <diagonal/>
    </border>
    <border>
      <left style="double">
        <color indexed="64"/>
      </left>
      <right/>
      <top style="double">
        <color indexed="64"/>
      </top>
      <bottom/>
      <diagonal/>
    </border>
    <border>
      <left/>
      <right style="thin">
        <color indexed="64"/>
      </right>
      <top style="double">
        <color indexed="64"/>
      </top>
      <bottom/>
      <diagonal/>
    </border>
    <border>
      <left/>
      <right/>
      <top style="double">
        <color indexed="64"/>
      </top>
      <bottom/>
      <diagonal/>
    </border>
    <border>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bottom/>
      <diagonal/>
    </border>
    <border>
      <left style="double">
        <color indexed="64"/>
      </left>
      <right/>
      <top/>
      <bottom style="double">
        <color indexed="64"/>
      </bottom>
      <diagonal/>
    </border>
    <border>
      <left/>
      <right style="double">
        <color indexed="64"/>
      </right>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thin">
        <color indexed="64"/>
      </top>
      <bottom/>
      <diagonal/>
    </border>
    <border>
      <left style="thin">
        <color indexed="64"/>
      </left>
      <right/>
      <top/>
      <bottom style="double">
        <color indexed="64"/>
      </bottom>
      <diagonal/>
    </border>
    <border>
      <left/>
      <right style="double">
        <color indexed="64"/>
      </right>
      <top style="thin">
        <color indexed="64"/>
      </top>
      <bottom/>
      <diagonal/>
    </border>
    <border>
      <left/>
      <right style="double">
        <color indexed="64"/>
      </right>
      <top style="double">
        <color indexed="64"/>
      </top>
      <bottom style="double">
        <color indexed="64"/>
      </bottom>
      <diagonal/>
    </border>
    <border>
      <left style="thin">
        <color indexed="64"/>
      </left>
      <right/>
      <top style="double">
        <color indexed="64"/>
      </top>
      <bottom/>
      <diagonal/>
    </border>
    <border>
      <left/>
      <right style="double">
        <color indexed="64"/>
      </right>
      <top style="double">
        <color indexed="64"/>
      </top>
      <bottom/>
      <diagonal/>
    </border>
    <border>
      <left style="thin">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top style="double">
        <color indexed="64"/>
      </top>
      <bottom style="double">
        <color indexed="64"/>
      </bottom>
      <diagonal/>
    </border>
    <border>
      <left/>
      <right style="thin">
        <color indexed="64"/>
      </right>
      <top/>
      <bottom style="thin">
        <color indexed="64"/>
      </bottom>
      <diagonal/>
    </border>
  </borders>
  <cellStyleXfs count="42">
    <xf numFmtId="0" fontId="0" fillId="0" borderId="0"/>
    <xf numFmtId="169" fontId="9" fillId="0" borderId="0" applyFont="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178" fontId="1" fillId="0" borderId="0" applyFill="0" applyBorder="0" applyAlignment="0" applyProtection="0"/>
    <xf numFmtId="179" fontId="1" fillId="0" borderId="0" applyFill="0" applyBorder="0" applyAlignment="0" applyProtection="0"/>
    <xf numFmtId="169" fontId="1" fillId="0" borderId="0" applyFont="0" applyFill="0" applyBorder="0" applyAlignment="0" applyProtection="0"/>
    <xf numFmtId="180" fontId="1" fillId="0" borderId="0" applyFill="0" applyBorder="0" applyAlignment="0" applyProtection="0"/>
    <xf numFmtId="180" fontId="1" fillId="0" borderId="0" applyFill="0" applyBorder="0" applyAlignment="0" applyProtection="0"/>
    <xf numFmtId="180" fontId="1" fillId="0" borderId="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1" fillId="0" borderId="0" applyFont="0" applyFill="0" applyBorder="0" applyAlignment="0" applyProtection="0"/>
    <xf numFmtId="171" fontId="1" fillId="0" borderId="0" applyFont="0" applyFill="0" applyBorder="0" applyAlignment="0" applyProtection="0"/>
    <xf numFmtId="165" fontId="1" fillId="0" borderId="0" applyFill="0" applyBorder="0" applyAlignment="0" applyProtection="0"/>
    <xf numFmtId="181" fontId="1" fillId="0" borderId="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81" fontId="1" fillId="0" borderId="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9" fontId="1" fillId="0" borderId="0" applyFont="0" applyFill="0" applyBorder="0" applyAlignment="0" applyProtection="0"/>
    <xf numFmtId="9" fontId="1" fillId="0" borderId="0" applyFill="0" applyBorder="0" applyAlignment="0" applyProtection="0"/>
    <xf numFmtId="9" fontId="1" fillId="0" borderId="0" applyFont="0" applyFill="0" applyBorder="0" applyAlignment="0" applyProtection="0"/>
    <xf numFmtId="9" fontId="9" fillId="0" borderId="0" applyFont="0" applyFill="0" applyBorder="0" applyAlignment="0" applyProtection="0"/>
  </cellStyleXfs>
  <cellXfs count="279">
    <xf numFmtId="0" fontId="0" fillId="0" borderId="0" xfId="0"/>
    <xf numFmtId="0" fontId="2" fillId="0" borderId="0" xfId="0" applyFont="1"/>
    <xf numFmtId="0" fontId="3" fillId="0" borderId="0" xfId="0" applyFont="1"/>
    <xf numFmtId="0" fontId="3" fillId="0" borderId="0" xfId="0" applyFont="1" applyAlignment="1">
      <alignment horizontal="centerContinuous"/>
    </xf>
    <xf numFmtId="0" fontId="0" fillId="0" borderId="0" xfId="0" applyAlignment="1">
      <alignment horizontal="centerContinuous"/>
    </xf>
    <xf numFmtId="0" fontId="1" fillId="0" borderId="0" xfId="0" applyFont="1" applyAlignment="1">
      <alignment horizontal="left"/>
    </xf>
    <xf numFmtId="0" fontId="1" fillId="0" borderId="0" xfId="0" applyFont="1"/>
    <xf numFmtId="0" fontId="4" fillId="0" borderId="0" xfId="0" applyFont="1"/>
    <xf numFmtId="0" fontId="1" fillId="0" borderId="0" xfId="0" applyFont="1" applyBorder="1"/>
    <xf numFmtId="0" fontId="1" fillId="0" borderId="1" xfId="0" applyFont="1" applyBorder="1"/>
    <xf numFmtId="169" fontId="1" fillId="0" borderId="0" xfId="1" applyFont="1" applyBorder="1"/>
    <xf numFmtId="169" fontId="1" fillId="0" borderId="2" xfId="1" applyFont="1" applyBorder="1"/>
    <xf numFmtId="0" fontId="0" fillId="0" borderId="0" xfId="0" applyFont="1"/>
    <xf numFmtId="0" fontId="1" fillId="0" borderId="0" xfId="0" applyFont="1" applyFill="1"/>
    <xf numFmtId="0" fontId="1" fillId="0" borderId="2" xfId="30" applyFont="1" applyBorder="1"/>
    <xf numFmtId="0" fontId="1" fillId="0" borderId="0" xfId="30" applyFont="1" applyBorder="1"/>
    <xf numFmtId="0" fontId="1" fillId="0" borderId="0" xfId="30" quotePrefix="1" applyFont="1" applyBorder="1"/>
    <xf numFmtId="0" fontId="1" fillId="0" borderId="1" xfId="30" applyFont="1" applyBorder="1"/>
    <xf numFmtId="0" fontId="4" fillId="0" borderId="0" xfId="30" applyFont="1"/>
    <xf numFmtId="0" fontId="1" fillId="0" borderId="0" xfId="30" applyFont="1"/>
    <xf numFmtId="169" fontId="1" fillId="0" borderId="0" xfId="16" applyFont="1" applyBorder="1"/>
    <xf numFmtId="169" fontId="1" fillId="0" borderId="2" xfId="16" applyFont="1" applyBorder="1"/>
    <xf numFmtId="0" fontId="1" fillId="2" borderId="3" xfId="30" applyFont="1" applyFill="1" applyBorder="1"/>
    <xf numFmtId="0" fontId="1" fillId="2" borderId="2" xfId="30" applyFont="1" applyFill="1" applyBorder="1"/>
    <xf numFmtId="0" fontId="5" fillId="3" borderId="4" xfId="30" applyFont="1" applyFill="1" applyBorder="1"/>
    <xf numFmtId="0" fontId="5" fillId="3" borderId="5" xfId="30" applyFont="1" applyFill="1" applyBorder="1"/>
    <xf numFmtId="0" fontId="5" fillId="3" borderId="6" xfId="30" applyFont="1" applyFill="1" applyBorder="1"/>
    <xf numFmtId="0" fontId="1" fillId="3" borderId="7" xfId="30" applyFill="1" applyBorder="1" applyAlignment="1">
      <alignment vertical="center"/>
    </xf>
    <xf numFmtId="0" fontId="1" fillId="3" borderId="8" xfId="30" applyFill="1" applyBorder="1" applyAlignment="1">
      <alignment vertical="center"/>
    </xf>
    <xf numFmtId="0" fontId="1" fillId="3" borderId="3" xfId="30" applyFont="1" applyFill="1" applyBorder="1"/>
    <xf numFmtId="0" fontId="1" fillId="3" borderId="2" xfId="30" applyFont="1" applyFill="1" applyBorder="1"/>
    <xf numFmtId="0" fontId="1" fillId="3" borderId="0" xfId="30" applyFont="1" applyFill="1" applyBorder="1"/>
    <xf numFmtId="0" fontId="1" fillId="3" borderId="9" xfId="30" applyFill="1" applyBorder="1" applyAlignment="1">
      <alignment vertical="center"/>
    </xf>
    <xf numFmtId="0" fontId="1" fillId="3" borderId="10" xfId="30" applyFill="1" applyBorder="1" applyAlignment="1">
      <alignment vertical="center"/>
    </xf>
    <xf numFmtId="169" fontId="1" fillId="2" borderId="2" xfId="16" applyFont="1" applyFill="1" applyBorder="1"/>
    <xf numFmtId="0" fontId="1" fillId="2" borderId="1" xfId="30" applyFont="1" applyFill="1" applyBorder="1"/>
    <xf numFmtId="0" fontId="1" fillId="2" borderId="2" xfId="32" applyFont="1" applyFill="1" applyBorder="1"/>
    <xf numFmtId="0" fontId="1" fillId="2" borderId="1" xfId="32" applyFont="1" applyFill="1" applyBorder="1"/>
    <xf numFmtId="0" fontId="6" fillId="2" borderId="0" xfId="32" quotePrefix="1" applyFont="1" applyFill="1" applyBorder="1"/>
    <xf numFmtId="0" fontId="11" fillId="0" borderId="0" xfId="0" applyFont="1" applyBorder="1"/>
    <xf numFmtId="0" fontId="11" fillId="0" borderId="0" xfId="0" quotePrefix="1" applyFont="1" applyBorder="1"/>
    <xf numFmtId="0" fontId="2" fillId="0" borderId="0" xfId="32" applyFont="1"/>
    <xf numFmtId="0" fontId="2" fillId="0" borderId="0" xfId="32" applyFont="1" applyAlignment="1"/>
    <xf numFmtId="0" fontId="3" fillId="0" borderId="0" xfId="32" applyFont="1"/>
    <xf numFmtId="0" fontId="3" fillId="0" borderId="0" xfId="32" applyFont="1" applyAlignment="1">
      <alignment horizontal="centerContinuous"/>
    </xf>
    <xf numFmtId="0" fontId="1" fillId="0" borderId="0" xfId="32" applyAlignment="1">
      <alignment horizontal="centerContinuous"/>
    </xf>
    <xf numFmtId="0" fontId="1" fillId="0" borderId="3" xfId="32" applyFont="1" applyFill="1" applyBorder="1"/>
    <xf numFmtId="0" fontId="1" fillId="0" borderId="2" xfId="32" applyFont="1" applyFill="1" applyBorder="1"/>
    <xf numFmtId="0" fontId="1" fillId="0" borderId="0" xfId="32" applyFont="1" applyFill="1" applyBorder="1"/>
    <xf numFmtId="0" fontId="1" fillId="0" borderId="1" xfId="32" applyFont="1" applyFill="1" applyBorder="1"/>
    <xf numFmtId="0" fontId="1" fillId="2" borderId="1" xfId="0" applyFont="1" applyFill="1" applyBorder="1"/>
    <xf numFmtId="0" fontId="11" fillId="2" borderId="0" xfId="30" quotePrefix="1" applyFont="1" applyFill="1" applyBorder="1"/>
    <xf numFmtId="0" fontId="1" fillId="2" borderId="0" xfId="30" quotePrefix="1" applyFont="1" applyFill="1" applyBorder="1"/>
    <xf numFmtId="15" fontId="1" fillId="2" borderId="0" xfId="30" quotePrefix="1" applyNumberFormat="1" applyFont="1" applyFill="1" applyBorder="1"/>
    <xf numFmtId="169" fontId="1" fillId="2" borderId="0" xfId="16" applyFont="1" applyFill="1" applyBorder="1"/>
    <xf numFmtId="0" fontId="1" fillId="2" borderId="0" xfId="32" applyFont="1" applyFill="1" applyBorder="1"/>
    <xf numFmtId="0" fontId="1" fillId="2" borderId="0" xfId="30" applyFont="1" applyFill="1" applyBorder="1"/>
    <xf numFmtId="0" fontId="11" fillId="0" borderId="2" xfId="0" applyFont="1" applyBorder="1"/>
    <xf numFmtId="15" fontId="1" fillId="0" borderId="0" xfId="30" quotePrefix="1" applyNumberFormat="1" applyFont="1" applyBorder="1"/>
    <xf numFmtId="0" fontId="11" fillId="0" borderId="3" xfId="0" applyFont="1" applyBorder="1"/>
    <xf numFmtId="0" fontId="1" fillId="0" borderId="3" xfId="30" applyFont="1" applyBorder="1"/>
    <xf numFmtId="0" fontId="11" fillId="0" borderId="0" xfId="30" quotePrefix="1" applyFont="1" applyBorder="1"/>
    <xf numFmtId="0" fontId="11" fillId="0" borderId="0" xfId="0" applyFont="1" applyAlignment="1">
      <alignment wrapText="1"/>
    </xf>
    <xf numFmtId="0" fontId="1" fillId="2" borderId="0" xfId="30" applyFont="1" applyFill="1"/>
    <xf numFmtId="0" fontId="4" fillId="2" borderId="0" xfId="30" applyFont="1" applyFill="1"/>
    <xf numFmtId="169" fontId="1" fillId="2" borderId="0" xfId="1" applyFont="1" applyFill="1" applyBorder="1"/>
    <xf numFmtId="0" fontId="11" fillId="2" borderId="2" xfId="0" applyFont="1" applyFill="1" applyBorder="1"/>
    <xf numFmtId="0" fontId="11" fillId="2" borderId="0" xfId="0" applyFont="1" applyFill="1" applyBorder="1"/>
    <xf numFmtId="169" fontId="1" fillId="2" borderId="2" xfId="1" applyFont="1" applyFill="1" applyBorder="1"/>
    <xf numFmtId="0" fontId="11" fillId="2" borderId="3" xfId="0" applyFont="1" applyFill="1" applyBorder="1"/>
    <xf numFmtId="0" fontId="11" fillId="2" borderId="0" xfId="0" applyFont="1" applyFill="1" applyAlignment="1">
      <alignment horizontal="justify" wrapText="1"/>
    </xf>
    <xf numFmtId="0" fontId="1" fillId="2" borderId="0" xfId="0" applyFont="1" applyFill="1" applyBorder="1"/>
    <xf numFmtId="0" fontId="11" fillId="2" borderId="0" xfId="0" quotePrefix="1" applyFont="1" applyFill="1" applyBorder="1"/>
    <xf numFmtId="0" fontId="0" fillId="2" borderId="0" xfId="0" applyFill="1" applyAlignment="1">
      <alignment wrapText="1"/>
    </xf>
    <xf numFmtId="0" fontId="1" fillId="2" borderId="0" xfId="30" applyFill="1"/>
    <xf numFmtId="0" fontId="0" fillId="0" borderId="0" xfId="32" applyFont="1" applyFill="1" applyBorder="1"/>
    <xf numFmtId="0" fontId="7" fillId="0" borderId="0" xfId="32" applyFont="1" applyFill="1" applyBorder="1"/>
    <xf numFmtId="0" fontId="0" fillId="0" borderId="0" xfId="32" quotePrefix="1" applyFont="1" applyFill="1" applyBorder="1"/>
    <xf numFmtId="0" fontId="8" fillId="0" borderId="0" xfId="32" applyFont="1" applyFill="1" applyBorder="1"/>
    <xf numFmtId="0" fontId="1" fillId="0" borderId="2" xfId="32" applyBorder="1"/>
    <xf numFmtId="0" fontId="1" fillId="0" borderId="1" xfId="32" applyBorder="1"/>
    <xf numFmtId="0" fontId="1" fillId="0" borderId="3" xfId="32" applyBorder="1"/>
    <xf numFmtId="0" fontId="1" fillId="2" borderId="0" xfId="32" applyFill="1"/>
    <xf numFmtId="0" fontId="1" fillId="2" borderId="2" xfId="32" applyFill="1" applyBorder="1"/>
    <xf numFmtId="0" fontId="1" fillId="2" borderId="3" xfId="32" applyFill="1" applyBorder="1"/>
    <xf numFmtId="0" fontId="1" fillId="2" borderId="1" xfId="32" applyFill="1" applyBorder="1"/>
    <xf numFmtId="0" fontId="1" fillId="2" borderId="3" xfId="30" applyFill="1" applyBorder="1"/>
    <xf numFmtId="0" fontId="1" fillId="2" borderId="2" xfId="30" applyFill="1" applyBorder="1"/>
    <xf numFmtId="0" fontId="1" fillId="2" borderId="0" xfId="30" quotePrefix="1" applyFill="1"/>
    <xf numFmtId="0" fontId="1" fillId="2" borderId="1" xfId="30" applyFill="1" applyBorder="1"/>
    <xf numFmtId="15" fontId="1" fillId="2" borderId="0" xfId="30" quotePrefix="1" applyNumberFormat="1" applyFill="1"/>
    <xf numFmtId="0" fontId="1" fillId="0" borderId="0" xfId="30" quotePrefix="1"/>
    <xf numFmtId="0" fontId="6" fillId="2" borderId="0" xfId="30" quotePrefix="1" applyFont="1" applyFill="1"/>
    <xf numFmtId="0" fontId="1" fillId="2" borderId="0" xfId="32" applyFill="1" applyBorder="1"/>
    <xf numFmtId="0" fontId="5" fillId="2" borderId="3" xfId="30" quotePrefix="1" applyFont="1" applyFill="1" applyBorder="1" applyAlignment="1">
      <alignment horizontal="center" vertical="center" wrapText="1"/>
    </xf>
    <xf numFmtId="0" fontId="1" fillId="2" borderId="2" xfId="30" applyFill="1" applyBorder="1" applyAlignment="1">
      <alignment horizontal="center" vertical="center" wrapText="1"/>
    </xf>
    <xf numFmtId="0" fontId="5" fillId="2" borderId="0" xfId="30" quotePrefix="1" applyFont="1" applyFill="1" applyBorder="1" applyAlignment="1">
      <alignment horizontal="center" vertical="center" wrapText="1"/>
    </xf>
    <xf numFmtId="0" fontId="1" fillId="2" borderId="0" xfId="30" applyFill="1" applyBorder="1" applyAlignment="1">
      <alignment horizontal="center" vertical="center" wrapText="1"/>
    </xf>
    <xf numFmtId="0" fontId="5" fillId="2" borderId="0" xfId="30" applyFont="1" applyFill="1" applyBorder="1" applyAlignment="1">
      <alignment horizontal="center" vertical="center" wrapText="1"/>
    </xf>
    <xf numFmtId="0" fontId="1" fillId="2" borderId="1" xfId="30" applyFill="1" applyBorder="1" applyAlignment="1">
      <alignment horizontal="center" vertical="center" wrapText="1"/>
    </xf>
    <xf numFmtId="0" fontId="1" fillId="2" borderId="0" xfId="30" applyFill="1" applyBorder="1"/>
    <xf numFmtId="0" fontId="1" fillId="2" borderId="0" xfId="32" quotePrefix="1" applyFill="1" applyBorder="1"/>
    <xf numFmtId="0" fontId="5" fillId="4" borderId="3" xfId="32" applyFont="1" applyFill="1" applyBorder="1" applyAlignment="1">
      <alignment horizontal="center"/>
    </xf>
    <xf numFmtId="0" fontId="5" fillId="4" borderId="2" xfId="32" applyFont="1" applyFill="1" applyBorder="1"/>
    <xf numFmtId="0" fontId="5" fillId="4" borderId="0" xfId="32" applyFont="1" applyFill="1"/>
    <xf numFmtId="0" fontId="1" fillId="4" borderId="0" xfId="32" applyFill="1"/>
    <xf numFmtId="0" fontId="1" fillId="4" borderId="2" xfId="32" applyFill="1" applyBorder="1"/>
    <xf numFmtId="0" fontId="1" fillId="4" borderId="1" xfId="32" applyFill="1" applyBorder="1"/>
    <xf numFmtId="0" fontId="5" fillId="4" borderId="0" xfId="32" applyFont="1" applyFill="1" applyBorder="1"/>
    <xf numFmtId="0" fontId="1" fillId="4" borderId="2" xfId="32" applyFont="1" applyFill="1" applyBorder="1"/>
    <xf numFmtId="0" fontId="1" fillId="4" borderId="0" xfId="32" applyFont="1" applyFill="1" applyBorder="1"/>
    <xf numFmtId="0" fontId="1" fillId="4" borderId="11" xfId="32" applyFont="1" applyFill="1" applyBorder="1"/>
    <xf numFmtId="0" fontId="1" fillId="4" borderId="1" xfId="32" applyFont="1" applyFill="1" applyBorder="1"/>
    <xf numFmtId="0" fontId="5" fillId="2" borderId="3" xfId="32" applyFont="1" applyFill="1" applyBorder="1" applyAlignment="1">
      <alignment horizontal="center"/>
    </xf>
    <xf numFmtId="0" fontId="5" fillId="2" borderId="2" xfId="32" applyFont="1" applyFill="1" applyBorder="1"/>
    <xf numFmtId="0" fontId="5" fillId="2" borderId="0" xfId="32" applyFont="1" applyFill="1" applyBorder="1"/>
    <xf numFmtId="0" fontId="1" fillId="2" borderId="0" xfId="32" applyFont="1" applyFill="1" applyBorder="1"/>
    <xf numFmtId="0" fontId="1" fillId="2" borderId="0" xfId="32" quotePrefix="1" applyFont="1" applyFill="1" applyBorder="1"/>
    <xf numFmtId="0" fontId="5" fillId="2" borderId="0" xfId="32" applyFont="1" applyFill="1"/>
    <xf numFmtId="0" fontId="1" fillId="2" borderId="0" xfId="32" applyFont="1" applyFill="1"/>
    <xf numFmtId="0" fontId="11" fillId="0" borderId="0" xfId="0" applyFont="1" applyBorder="1" applyAlignment="1">
      <alignment horizontal="justify" wrapText="1"/>
    </xf>
    <xf numFmtId="0" fontId="1" fillId="0" borderId="3" xfId="30" applyBorder="1"/>
    <xf numFmtId="0" fontId="1" fillId="0" borderId="2" xfId="30" applyBorder="1"/>
    <xf numFmtId="0" fontId="1" fillId="0" borderId="0" xfId="30"/>
    <xf numFmtId="0" fontId="1" fillId="0" borderId="1" xfId="30" applyBorder="1"/>
    <xf numFmtId="17" fontId="1" fillId="2" borderId="0" xfId="30" quotePrefix="1" applyNumberFormat="1" applyFill="1"/>
    <xf numFmtId="0" fontId="1" fillId="0" borderId="2" xfId="0" applyFont="1" applyBorder="1"/>
    <xf numFmtId="0" fontId="11" fillId="0" borderId="0" xfId="0" applyFont="1"/>
    <xf numFmtId="0" fontId="11" fillId="0" borderId="0" xfId="0" quotePrefix="1" applyFont="1"/>
    <xf numFmtId="0" fontId="1" fillId="0" borderId="3" xfId="0" applyFont="1" applyBorder="1"/>
    <xf numFmtId="0" fontId="0" fillId="0" borderId="0" xfId="30" quotePrefix="1" applyFont="1"/>
    <xf numFmtId="169" fontId="1" fillId="2" borderId="2" xfId="17" applyFont="1" applyFill="1" applyBorder="1"/>
    <xf numFmtId="169" fontId="1" fillId="2" borderId="0" xfId="17" applyFont="1" applyFill="1" applyBorder="1"/>
    <xf numFmtId="0" fontId="7" fillId="2" borderId="0" xfId="30" quotePrefix="1" applyFont="1" applyFill="1"/>
    <xf numFmtId="0" fontId="1" fillId="0" borderId="10" xfId="30" applyBorder="1"/>
    <xf numFmtId="0" fontId="1" fillId="0" borderId="9" xfId="30" applyBorder="1"/>
    <xf numFmtId="0" fontId="1" fillId="0" borderId="9" xfId="30" applyBorder="1" applyAlignment="1">
      <alignment horizontal="left"/>
    </xf>
    <xf numFmtId="0" fontId="1" fillId="0" borderId="3" xfId="30" quotePrefix="1" applyBorder="1" applyAlignment="1">
      <alignment horizontal="center" vertical="center" wrapText="1"/>
    </xf>
    <xf numFmtId="0" fontId="1" fillId="0" borderId="2" xfId="30" applyBorder="1" applyAlignment="1">
      <alignment horizontal="center" vertical="center" wrapText="1"/>
    </xf>
    <xf numFmtId="0" fontId="5" fillId="0" borderId="0" xfId="30" quotePrefix="1" applyFont="1" applyAlignment="1">
      <alignment horizontal="center" vertical="center" wrapText="1"/>
    </xf>
    <xf numFmtId="0" fontId="1" fillId="0" borderId="0" xfId="30" applyAlignment="1">
      <alignment horizontal="center" vertical="center" wrapText="1"/>
    </xf>
    <xf numFmtId="0" fontId="1" fillId="0" borderId="1" xfId="30" applyBorder="1" applyAlignment="1">
      <alignment horizontal="center" vertical="center" wrapText="1"/>
    </xf>
    <xf numFmtId="0" fontId="5" fillId="0" borderId="3" xfId="30" quotePrefix="1" applyFont="1" applyBorder="1" applyAlignment="1">
      <alignment horizontal="center" vertical="center" wrapText="1"/>
    </xf>
    <xf numFmtId="0" fontId="1" fillId="0" borderId="12" xfId="30" applyBorder="1"/>
    <xf numFmtId="0" fontId="1" fillId="0" borderId="9" xfId="30" applyBorder="1" applyAlignment="1">
      <alignment horizontal="center"/>
    </xf>
    <xf numFmtId="0" fontId="1" fillId="0" borderId="10" xfId="30" applyBorder="1" applyAlignment="1">
      <alignment horizontal="center"/>
    </xf>
    <xf numFmtId="0" fontId="1" fillId="0" borderId="10" xfId="30" applyBorder="1" applyAlignment="1">
      <alignment horizontal="left"/>
    </xf>
    <xf numFmtId="0" fontId="1" fillId="0" borderId="13" xfId="30" applyBorder="1" applyAlignment="1">
      <alignment horizontal="left"/>
    </xf>
    <xf numFmtId="0" fontId="11" fillId="0" borderId="0" xfId="0" applyFont="1" applyBorder="1" applyAlignment="1">
      <alignment wrapText="1"/>
    </xf>
    <xf numFmtId="0" fontId="1" fillId="0" borderId="0" xfId="32" applyBorder="1"/>
    <xf numFmtId="0" fontId="1" fillId="0" borderId="11" xfId="32" applyBorder="1"/>
    <xf numFmtId="0" fontId="1" fillId="4" borderId="0" xfId="32" applyFill="1" applyBorder="1"/>
    <xf numFmtId="0" fontId="1" fillId="0" borderId="0" xfId="30" applyBorder="1"/>
    <xf numFmtId="0" fontId="1" fillId="0" borderId="0" xfId="30" quotePrefix="1" applyBorder="1"/>
    <xf numFmtId="0" fontId="1" fillId="0" borderId="0" xfId="30" quotePrefix="1" applyBorder="1" applyAlignment="1">
      <alignment horizontal="center" vertical="center" wrapText="1"/>
    </xf>
    <xf numFmtId="0" fontId="1" fillId="0" borderId="0" xfId="30" applyBorder="1" applyAlignment="1">
      <alignment horizontal="center" vertical="center" wrapText="1"/>
    </xf>
    <xf numFmtId="0" fontId="1" fillId="0" borderId="4" xfId="30" applyBorder="1"/>
    <xf numFmtId="0" fontId="1" fillId="0" borderId="6" xfId="30" applyBorder="1"/>
    <xf numFmtId="169" fontId="1" fillId="0" borderId="5" xfId="16" applyFont="1" applyBorder="1"/>
    <xf numFmtId="169" fontId="1" fillId="0" borderId="6" xfId="16" applyFont="1" applyBorder="1"/>
    <xf numFmtId="0" fontId="1" fillId="0" borderId="5" xfId="30" applyBorder="1"/>
    <xf numFmtId="0" fontId="1" fillId="2" borderId="0" xfId="30" applyFill="1" applyAlignment="1">
      <alignment wrapText="1"/>
    </xf>
    <xf numFmtId="0" fontId="1" fillId="2" borderId="0" xfId="0" applyFont="1" applyFill="1" applyBorder="1"/>
    <xf numFmtId="0" fontId="1" fillId="0" borderId="0" xfId="0" applyFont="1" applyAlignment="1">
      <alignment horizontal="justify" wrapText="1"/>
    </xf>
    <xf numFmtId="0" fontId="1" fillId="0" borderId="0" xfId="29" applyAlignment="1">
      <alignment horizontal="justify" wrapText="1"/>
    </xf>
    <xf numFmtId="0" fontId="1" fillId="2" borderId="0" xfId="32" applyFont="1" applyFill="1" applyBorder="1"/>
    <xf numFmtId="0" fontId="1" fillId="2" borderId="0" xfId="32" quotePrefix="1" applyFont="1" applyFill="1" applyBorder="1"/>
    <xf numFmtId="0" fontId="1" fillId="2" borderId="0" xfId="32" applyFont="1" applyFill="1"/>
    <xf numFmtId="0" fontId="1" fillId="2" borderId="0" xfId="32" quotePrefix="1" applyFont="1" applyFill="1"/>
    <xf numFmtId="0" fontId="0" fillId="0" borderId="0" xfId="30" applyFont="1" applyAlignment="1">
      <alignment horizontal="center" vertical="center" wrapText="1"/>
    </xf>
    <xf numFmtId="0" fontId="1" fillId="0" borderId="0" xfId="30" applyAlignment="1">
      <alignment horizontal="left" vertical="center" wrapText="1"/>
    </xf>
    <xf numFmtId="0" fontId="0" fillId="0" borderId="0" xfId="30" applyFont="1" applyAlignment="1">
      <alignment horizontal="left" vertical="center" wrapText="1"/>
    </xf>
    <xf numFmtId="0" fontId="0" fillId="0" borderId="0" xfId="30" quotePrefix="1" applyFont="1" applyAlignment="1">
      <alignment horizontal="center" vertical="center" wrapText="1"/>
    </xf>
    <xf numFmtId="0" fontId="0" fillId="0" borderId="0" xfId="30" quotePrefix="1" applyFont="1" applyAlignment="1">
      <alignment horizontal="left" vertical="center" wrapText="1"/>
    </xf>
    <xf numFmtId="0" fontId="0" fillId="0" borderId="0" xfId="30" applyFont="1" applyAlignment="1">
      <alignment vertical="justify" wrapText="1"/>
    </xf>
    <xf numFmtId="0" fontId="7" fillId="2" borderId="0" xfId="32" applyFont="1" applyFill="1" applyBorder="1"/>
    <xf numFmtId="0" fontId="0" fillId="0" borderId="0" xfId="30" applyFont="1"/>
    <xf numFmtId="0" fontId="1" fillId="2" borderId="2" xfId="2" applyFill="1" applyBorder="1"/>
    <xf numFmtId="0" fontId="1" fillId="2" borderId="0" xfId="2" applyFill="1" applyBorder="1"/>
    <xf numFmtId="15" fontId="6" fillId="2" borderId="0" xfId="30" quotePrefix="1" applyNumberFormat="1" applyFont="1" applyFill="1"/>
    <xf numFmtId="0" fontId="1" fillId="2" borderId="0" xfId="2" quotePrefix="1" applyFill="1" applyBorder="1"/>
    <xf numFmtId="0" fontId="1" fillId="0" borderId="4" xfId="32" applyFont="1" applyFill="1" applyBorder="1"/>
    <xf numFmtId="0" fontId="1" fillId="0" borderId="5" xfId="32" applyFont="1" applyFill="1" applyBorder="1"/>
    <xf numFmtId="0" fontId="1" fillId="0" borderId="6" xfId="32" applyFont="1" applyFill="1" applyBorder="1"/>
    <xf numFmtId="0" fontId="1" fillId="0" borderId="22" xfId="32" applyFont="1" applyFill="1" applyBorder="1"/>
    <xf numFmtId="0" fontId="5" fillId="4" borderId="4" xfId="32" applyFont="1" applyFill="1" applyBorder="1" applyAlignment="1">
      <alignment horizontal="center"/>
    </xf>
    <xf numFmtId="0" fontId="5" fillId="4" borderId="5" xfId="32" applyFont="1" applyFill="1" applyBorder="1"/>
    <xf numFmtId="0" fontId="5" fillId="4" borderId="6" xfId="32" applyFont="1" applyFill="1" applyBorder="1"/>
    <xf numFmtId="0" fontId="1" fillId="4" borderId="6" xfId="32" applyFill="1" applyBorder="1"/>
    <xf numFmtId="0" fontId="1" fillId="4" borderId="5" xfId="32" applyFill="1" applyBorder="1"/>
    <xf numFmtId="0" fontId="1" fillId="4" borderId="22" xfId="32" applyFill="1" applyBorder="1"/>
    <xf numFmtId="0" fontId="8" fillId="0" borderId="0" xfId="32" applyFont="1" applyBorder="1"/>
    <xf numFmtId="0" fontId="1" fillId="0" borderId="0" xfId="32" quotePrefix="1" applyBorder="1"/>
    <xf numFmtId="0" fontId="0" fillId="0" borderId="0" xfId="0" applyBorder="1"/>
    <xf numFmtId="0" fontId="5" fillId="2" borderId="10" xfId="32" applyFont="1" applyFill="1" applyBorder="1"/>
    <xf numFmtId="0" fontId="5" fillId="2" borderId="9" xfId="32" applyFont="1" applyFill="1" applyBorder="1"/>
    <xf numFmtId="0" fontId="1" fillId="2" borderId="10" xfId="32" applyFill="1" applyBorder="1"/>
    <xf numFmtId="0" fontId="1" fillId="2" borderId="9" xfId="32" applyFill="1" applyBorder="1"/>
    <xf numFmtId="0" fontId="1" fillId="2" borderId="9" xfId="32" quotePrefix="1" applyFont="1" applyFill="1" applyBorder="1"/>
    <xf numFmtId="0" fontId="0" fillId="0" borderId="9" xfId="0" applyBorder="1"/>
    <xf numFmtId="0" fontId="0" fillId="0" borderId="6" xfId="30" quotePrefix="1" applyFont="1" applyBorder="1"/>
    <xf numFmtId="0" fontId="1" fillId="0" borderId="22" xfId="30" applyBorder="1"/>
    <xf numFmtId="0" fontId="0" fillId="0" borderId="0" xfId="30" quotePrefix="1" applyFont="1" applyBorder="1"/>
    <xf numFmtId="0" fontId="1" fillId="0" borderId="0" xfId="0" applyFont="1" applyBorder="1" applyAlignment="1">
      <alignment horizontal="center"/>
    </xf>
    <xf numFmtId="0" fontId="1" fillId="0" borderId="0" xfId="0" applyFont="1" applyBorder="1" applyAlignment="1">
      <alignment horizontal="left"/>
    </xf>
    <xf numFmtId="0" fontId="1" fillId="0" borderId="2" xfId="0" applyFont="1" applyBorder="1" applyAlignment="1">
      <alignment horizontal="center"/>
    </xf>
    <xf numFmtId="0" fontId="1" fillId="0" borderId="2" xfId="0" applyFont="1" applyBorder="1" applyAlignment="1">
      <alignment horizontal="left"/>
    </xf>
    <xf numFmtId="0" fontId="1" fillId="0" borderId="1" xfId="0" applyFont="1" applyBorder="1" applyAlignment="1">
      <alignment horizontal="left"/>
    </xf>
    <xf numFmtId="0" fontId="11" fillId="2" borderId="0" xfId="30" applyFont="1" applyFill="1" applyBorder="1" applyAlignment="1">
      <alignment horizontal="justify" wrapText="1"/>
    </xf>
    <xf numFmtId="0" fontId="1" fillId="2" borderId="0" xfId="30" applyFont="1" applyFill="1" applyAlignment="1">
      <alignment horizontal="justify" wrapText="1"/>
    </xf>
    <xf numFmtId="0" fontId="11" fillId="0" borderId="0" xfId="0" applyFont="1" applyAlignment="1">
      <alignment wrapText="1"/>
    </xf>
    <xf numFmtId="0" fontId="0" fillId="0" borderId="0" xfId="32" applyFont="1" applyFill="1" applyBorder="1" applyAlignment="1">
      <alignment horizontal="justify" vertical="justify" wrapText="1"/>
    </xf>
    <xf numFmtId="0" fontId="1" fillId="2" borderId="0" xfId="32" applyFont="1" applyFill="1" applyBorder="1" applyAlignment="1">
      <alignment horizontal="left" wrapText="1"/>
    </xf>
    <xf numFmtId="0" fontId="1" fillId="2" borderId="0" xfId="30" applyFill="1" applyAlignment="1">
      <alignment horizontal="justify" wrapText="1"/>
    </xf>
    <xf numFmtId="0" fontId="1" fillId="0" borderId="0" xfId="29" applyAlignment="1">
      <alignment horizontal="justify" wrapText="1"/>
    </xf>
    <xf numFmtId="0" fontId="1" fillId="0" borderId="0" xfId="0" applyFont="1" applyAlignment="1">
      <alignment horizontal="justify" wrapText="1"/>
    </xf>
    <xf numFmtId="0" fontId="1" fillId="2" borderId="0" xfId="32" applyFont="1" applyFill="1" applyBorder="1" applyAlignment="1">
      <alignment horizontal="justify" vertical="justify" wrapText="1"/>
    </xf>
    <xf numFmtId="0" fontId="1" fillId="2" borderId="9" xfId="32" applyFont="1" applyFill="1" applyBorder="1" applyAlignment="1">
      <alignment horizontal="justify" vertical="justify" wrapText="1"/>
    </xf>
    <xf numFmtId="0" fontId="1" fillId="2" borderId="0" xfId="30" applyFill="1" applyAlignment="1">
      <alignment horizontal="justify" vertical="justify" wrapText="1"/>
    </xf>
    <xf numFmtId="0" fontId="0" fillId="0" borderId="0" xfId="30" applyFont="1" applyAlignment="1">
      <alignment horizontal="justify" vertical="justify" wrapText="1"/>
    </xf>
    <xf numFmtId="0" fontId="11" fillId="2" borderId="0" xfId="0" applyFont="1" applyFill="1" applyBorder="1" applyAlignment="1">
      <alignment horizontal="justify" wrapText="1"/>
    </xf>
    <xf numFmtId="0" fontId="11" fillId="2" borderId="0" xfId="0" applyFont="1" applyFill="1" applyAlignment="1">
      <alignment horizontal="justify" wrapText="1"/>
    </xf>
    <xf numFmtId="0" fontId="1" fillId="2" borderId="0" xfId="29" applyFill="1" applyAlignment="1">
      <alignment horizontal="justify" wrapText="1"/>
    </xf>
    <xf numFmtId="0" fontId="0" fillId="0" borderId="0" xfId="29" applyFont="1" applyAlignment="1">
      <alignment horizontal="justify" vertical="justify" wrapText="1"/>
    </xf>
    <xf numFmtId="0" fontId="1" fillId="0" borderId="0" xfId="29" applyAlignment="1">
      <alignment horizontal="justify" vertical="justify" wrapText="1"/>
    </xf>
    <xf numFmtId="0" fontId="1" fillId="0" borderId="0" xfId="30" applyAlignment="1">
      <alignment horizontal="justify" wrapText="1"/>
    </xf>
    <xf numFmtId="0" fontId="0" fillId="0" borderId="0" xfId="30" quotePrefix="1" applyFont="1" applyAlignment="1">
      <alignment horizontal="justify" vertical="justify" wrapText="1"/>
    </xf>
    <xf numFmtId="0" fontId="1" fillId="2" borderId="0" xfId="30" applyFill="1" applyBorder="1" applyAlignment="1">
      <alignment horizontal="justify" wrapText="1"/>
    </xf>
    <xf numFmtId="0" fontId="1" fillId="2" borderId="0" xfId="29" applyFill="1" applyBorder="1" applyAlignment="1">
      <alignment horizontal="justify" wrapText="1"/>
    </xf>
    <xf numFmtId="0" fontId="1" fillId="0" borderId="0" xfId="29" applyBorder="1" applyAlignment="1">
      <alignment horizontal="justify" wrapText="1"/>
    </xf>
    <xf numFmtId="0" fontId="1" fillId="2" borderId="0" xfId="30" applyFont="1" applyFill="1" applyBorder="1" applyAlignment="1">
      <alignment horizontal="justify" wrapText="1"/>
    </xf>
    <xf numFmtId="0" fontId="0" fillId="2" borderId="0" xfId="0" applyFill="1" applyAlignment="1">
      <alignment wrapText="1"/>
    </xf>
    <xf numFmtId="0" fontId="12" fillId="2" borderId="0" xfId="0" applyFont="1" applyFill="1" applyBorder="1" applyAlignment="1">
      <alignment wrapText="1"/>
    </xf>
    <xf numFmtId="0" fontId="0" fillId="0" borderId="0" xfId="0" applyAlignment="1">
      <alignment wrapText="1"/>
    </xf>
    <xf numFmtId="0" fontId="11" fillId="0" borderId="0" xfId="0" applyFont="1" applyBorder="1" applyAlignment="1">
      <alignment horizontal="justify" wrapText="1"/>
    </xf>
    <xf numFmtId="0" fontId="11" fillId="0" borderId="0" xfId="0" applyFont="1" applyAlignment="1">
      <alignment horizontal="justify" wrapText="1"/>
    </xf>
    <xf numFmtId="0" fontId="1" fillId="2" borderId="0" xfId="30" applyFont="1" applyFill="1" applyBorder="1" applyAlignment="1">
      <alignment horizontal="justify" vertical="top" wrapText="1"/>
    </xf>
    <xf numFmtId="0" fontId="1" fillId="2" borderId="0" xfId="30" applyFont="1" applyFill="1" applyAlignment="1">
      <alignment horizontal="justify" vertical="top" wrapText="1"/>
    </xf>
    <xf numFmtId="0" fontId="0" fillId="2" borderId="0" xfId="0" applyFill="1" applyAlignment="1">
      <alignment vertical="top" wrapText="1"/>
    </xf>
    <xf numFmtId="0" fontId="5" fillId="5" borderId="14" xfId="30" quotePrefix="1" applyFont="1" applyFill="1" applyBorder="1" applyAlignment="1">
      <alignment horizontal="center" vertical="center" wrapText="1"/>
    </xf>
    <xf numFmtId="0" fontId="1" fillId="5" borderId="15" xfId="30" applyFill="1" applyBorder="1" applyAlignment="1">
      <alignment horizontal="center" vertical="center" wrapText="1"/>
    </xf>
    <xf numFmtId="0" fontId="1" fillId="5" borderId="16" xfId="30" applyFill="1" applyBorder="1" applyAlignment="1">
      <alignment horizontal="center" vertical="center" wrapText="1"/>
    </xf>
    <xf numFmtId="0" fontId="5" fillId="3" borderId="21" xfId="30" applyFont="1" applyFill="1" applyBorder="1" applyAlignment="1">
      <alignment horizontal="center" vertical="center" wrapText="1"/>
    </xf>
    <xf numFmtId="0" fontId="1" fillId="3" borderId="6" xfId="30" applyFont="1" applyFill="1" applyBorder="1" applyAlignment="1">
      <alignment horizontal="center" vertical="center" wrapText="1"/>
    </xf>
    <xf numFmtId="0" fontId="1" fillId="3" borderId="5" xfId="30" applyFont="1" applyFill="1" applyBorder="1" applyAlignment="1">
      <alignment horizontal="center" vertical="center" wrapText="1"/>
    </xf>
    <xf numFmtId="0" fontId="1" fillId="3" borderId="11" xfId="30" applyFont="1" applyFill="1" applyBorder="1" applyAlignment="1">
      <alignment horizontal="center" vertical="center" wrapText="1"/>
    </xf>
    <xf numFmtId="0" fontId="1" fillId="3" borderId="0" xfId="30" applyFont="1" applyFill="1" applyBorder="1" applyAlignment="1">
      <alignment horizontal="center" vertical="center" wrapText="1"/>
    </xf>
    <xf numFmtId="0" fontId="1" fillId="3" borderId="2" xfId="30" applyFont="1" applyFill="1" applyBorder="1" applyAlignment="1">
      <alignment horizontal="center" vertical="center" wrapText="1"/>
    </xf>
    <xf numFmtId="0" fontId="1" fillId="3" borderId="18" xfId="30" applyFont="1" applyFill="1" applyBorder="1" applyAlignment="1">
      <alignment horizontal="center" vertical="center" wrapText="1"/>
    </xf>
    <xf numFmtId="0" fontId="1" fillId="3" borderId="9" xfId="30" applyFont="1" applyFill="1" applyBorder="1" applyAlignment="1">
      <alignment horizontal="center" vertical="center" wrapText="1"/>
    </xf>
    <xf numFmtId="0" fontId="1" fillId="3" borderId="10" xfId="30" applyFont="1" applyFill="1" applyBorder="1" applyAlignment="1">
      <alignment horizontal="center" vertical="center" wrapText="1"/>
    </xf>
    <xf numFmtId="0" fontId="5" fillId="5" borderId="14" xfId="30" applyFont="1" applyFill="1" applyBorder="1" applyAlignment="1">
      <alignment horizontal="center" vertical="center" wrapText="1"/>
    </xf>
    <xf numFmtId="0" fontId="1" fillId="3" borderId="6" xfId="30" applyFill="1" applyBorder="1" applyAlignment="1">
      <alignment horizontal="center" vertical="center" wrapText="1"/>
    </xf>
    <xf numFmtId="0" fontId="1" fillId="3" borderId="5" xfId="30" applyFill="1" applyBorder="1" applyAlignment="1">
      <alignment horizontal="center" vertical="center" wrapText="1"/>
    </xf>
    <xf numFmtId="0" fontId="1" fillId="3" borderId="23" xfId="30" applyFill="1" applyBorder="1" applyAlignment="1">
      <alignment horizontal="center" vertical="center" wrapText="1"/>
    </xf>
    <xf numFmtId="0" fontId="1" fillId="3" borderId="24" xfId="30" applyFill="1" applyBorder="1" applyAlignment="1">
      <alignment horizontal="center" vertical="center" wrapText="1"/>
    </xf>
    <xf numFmtId="0" fontId="1" fillId="3" borderId="27" xfId="30" applyFill="1" applyBorder="1" applyAlignment="1">
      <alignment horizontal="center" vertical="center" wrapText="1"/>
    </xf>
    <xf numFmtId="0" fontId="5" fillId="3" borderId="17" xfId="30" applyFont="1" applyFill="1" applyBorder="1" applyAlignment="1">
      <alignment horizontal="center" vertical="center" wrapText="1"/>
    </xf>
    <xf numFmtId="0" fontId="1" fillId="6" borderId="7" xfId="30" applyFill="1" applyBorder="1" applyAlignment="1">
      <alignment horizontal="center" vertical="center" wrapText="1"/>
    </xf>
    <xf numFmtId="0" fontId="1" fillId="6" borderId="8" xfId="30" applyFill="1" applyBorder="1" applyAlignment="1">
      <alignment horizontal="center" vertical="center" wrapText="1"/>
    </xf>
    <xf numFmtId="0" fontId="1" fillId="6" borderId="18" xfId="30" applyFill="1" applyBorder="1" applyAlignment="1">
      <alignment horizontal="center" vertical="center" wrapText="1"/>
    </xf>
    <xf numFmtId="0" fontId="1" fillId="6" borderId="9" xfId="30" applyFill="1" applyBorder="1" applyAlignment="1">
      <alignment horizontal="center" vertical="center" wrapText="1"/>
    </xf>
    <xf numFmtId="0" fontId="1" fillId="6" borderId="10" xfId="30" applyFill="1" applyBorder="1" applyAlignment="1">
      <alignment horizontal="center" vertical="center" wrapText="1"/>
    </xf>
    <xf numFmtId="0" fontId="1" fillId="6" borderId="19" xfId="30" applyFill="1" applyBorder="1" applyAlignment="1">
      <alignment horizontal="center" vertical="center" wrapText="1"/>
    </xf>
    <xf numFmtId="0" fontId="1" fillId="6" borderId="13" xfId="30" applyFill="1" applyBorder="1" applyAlignment="1">
      <alignment horizontal="center" vertical="center" wrapText="1"/>
    </xf>
    <xf numFmtId="0" fontId="1" fillId="5" borderId="20" xfId="30" applyFill="1" applyBorder="1" applyAlignment="1">
      <alignment horizontal="center" vertical="center" wrapText="1"/>
    </xf>
    <xf numFmtId="0" fontId="5" fillId="3" borderId="3" xfId="30" applyFont="1" applyFill="1" applyBorder="1" applyAlignment="1">
      <alignment horizontal="center" vertical="center" wrapText="1"/>
    </xf>
    <xf numFmtId="0" fontId="1" fillId="3" borderId="3" xfId="30" applyFont="1" applyFill="1" applyBorder="1" applyAlignment="1">
      <alignment horizontal="center" vertical="center" wrapText="1"/>
    </xf>
    <xf numFmtId="0" fontId="5" fillId="3" borderId="11" xfId="30" applyFont="1" applyFill="1" applyBorder="1" applyAlignment="1">
      <alignment horizontal="center" vertical="center" wrapText="1"/>
    </xf>
    <xf numFmtId="0" fontId="1" fillId="3" borderId="7" xfId="30" applyFill="1" applyBorder="1" applyAlignment="1">
      <alignment horizontal="center" vertical="center" wrapText="1"/>
    </xf>
    <xf numFmtId="0" fontId="1" fillId="3" borderId="18" xfId="30" applyFill="1" applyBorder="1" applyAlignment="1">
      <alignment horizontal="center" vertical="center" wrapText="1"/>
    </xf>
    <xf numFmtId="0" fontId="1" fillId="3" borderId="9" xfId="30" applyFill="1" applyBorder="1" applyAlignment="1">
      <alignment horizontal="center" vertical="center" wrapText="1"/>
    </xf>
    <xf numFmtId="0" fontId="1" fillId="3" borderId="8" xfId="30" applyFill="1" applyBorder="1" applyAlignment="1">
      <alignment horizontal="center" vertical="center" wrapText="1"/>
    </xf>
    <xf numFmtId="0" fontId="1" fillId="3" borderId="10" xfId="30" applyFill="1" applyBorder="1" applyAlignment="1">
      <alignment horizontal="center" vertical="center" wrapText="1"/>
    </xf>
    <xf numFmtId="0" fontId="1" fillId="3" borderId="22" xfId="30" applyFill="1" applyBorder="1" applyAlignment="1">
      <alignment horizontal="center" vertical="center" wrapText="1"/>
    </xf>
    <xf numFmtId="0" fontId="1" fillId="3" borderId="25" xfId="30" applyFill="1" applyBorder="1" applyAlignment="1">
      <alignment horizontal="center" vertical="center" wrapText="1"/>
    </xf>
    <xf numFmtId="0" fontId="5" fillId="5" borderId="26" xfId="30" quotePrefix="1" applyFont="1" applyFill="1" applyBorder="1" applyAlignment="1">
      <alignment horizontal="center" vertical="center" wrapText="1"/>
    </xf>
    <xf numFmtId="0" fontId="1" fillId="0" borderId="0" xfId="32" applyFont="1" applyFill="1" applyBorder="1" applyAlignment="1">
      <alignment horizontal="justify" vertical="justify" wrapText="1"/>
    </xf>
    <xf numFmtId="0" fontId="11" fillId="0" borderId="0" xfId="0" applyFont="1" applyBorder="1" applyAlignment="1">
      <alignment wrapText="1"/>
    </xf>
  </cellXfs>
  <cellStyles count="42">
    <cellStyle name="Comma [0]" xfId="1" builtinId="6"/>
    <cellStyle name="Comma [0] 2" xfId="2" xr:uid="{32D1872D-44D6-4CEA-9137-D38BA79BDC48}"/>
    <cellStyle name="Comma [0] 2 2" xfId="3" xr:uid="{79682D10-6B72-4591-A8A8-841C5E5158D5}"/>
    <cellStyle name="Comma [0] 2 2 2" xfId="4" xr:uid="{FE2C5C7D-A68F-4A33-A336-1693B5603C72}"/>
    <cellStyle name="Comma [0] 2 3" xfId="5" xr:uid="{5EF89FE7-C555-4DDC-8C74-E65300A4C381}"/>
    <cellStyle name="Comma [0] 2 3 2" xfId="6" xr:uid="{7E1FA8BC-B11F-4A03-B3C4-02F22814E906}"/>
    <cellStyle name="Comma [0] 2 4" xfId="7" xr:uid="{74F87795-5461-41A2-9F4D-EA870BD7B470}"/>
    <cellStyle name="Comma [0] 2 5" xfId="8" xr:uid="{1DBA6914-B03A-4DE9-995A-CC6ACCC387BC}"/>
    <cellStyle name="Comma [0] 3" xfId="9" xr:uid="{9CD66220-8A0F-40FE-BCF5-9BC6DEB34BDE}"/>
    <cellStyle name="Comma [0] 3 3" xfId="10" xr:uid="{E101366A-232E-4037-BECB-DBF9D8B0796C}"/>
    <cellStyle name="Comma [0] 3 3 2 2" xfId="11" xr:uid="{7AB42ED8-4AC3-4130-A423-CFAF6F614822}"/>
    <cellStyle name="Comma [0] 4" xfId="12" xr:uid="{32D2BF0A-7217-4BC7-AE4B-0EB857826A68}"/>
    <cellStyle name="Comma [0] 4 2" xfId="13" xr:uid="{1D8E4259-1F8F-45D7-A208-FC90FDD6FFC7}"/>
    <cellStyle name="Comma [0] 5" xfId="14" xr:uid="{9FDFEF69-A229-4349-8504-057725272BAA}"/>
    <cellStyle name="Comma [0] 5 2 2" xfId="15" xr:uid="{F4666ACD-E5DC-4B38-B065-567DC6A4D2B2}"/>
    <cellStyle name="Comma [0] 7" xfId="16" xr:uid="{5B8B8F1E-E0AA-487B-B183-77CF6D684711}"/>
    <cellStyle name="Comma [0] 7 2" xfId="17" xr:uid="{767AF134-46C5-4CE5-93CE-6B6266A74625}"/>
    <cellStyle name="Comma [0] 8" xfId="18" xr:uid="{92FBE7D5-F98E-4316-BB3C-7F6F695EF551}"/>
    <cellStyle name="Comma 2" xfId="19" xr:uid="{3C27B456-54B2-4CCC-8D36-2507FE6226E8}"/>
    <cellStyle name="Comma 2 2" xfId="20" xr:uid="{2E43CF3E-D12B-499C-8348-FEB1EB3764D6}"/>
    <cellStyle name="Comma 2 2 2" xfId="21" xr:uid="{B6E52649-572D-4FEE-AFB6-1A1485032E31}"/>
    <cellStyle name="Comma 2 2 3" xfId="22" xr:uid="{30EF02C3-E684-421C-83A6-63A13BF59841}"/>
    <cellStyle name="Comma 2 3" xfId="23" xr:uid="{BC12FDDA-2467-4EF6-A07D-92BE06D1B751}"/>
    <cellStyle name="Comma 2 3 2" xfId="24" xr:uid="{5CC6A5C3-7460-469F-BF00-B99FAC25C4D4}"/>
    <cellStyle name="Comma 3" xfId="25" xr:uid="{85F298BB-6872-493F-B280-0E0CFAF03F90}"/>
    <cellStyle name="Comma 4" xfId="26" xr:uid="{7D726628-0AD0-4622-A02D-249E5E20F4D1}"/>
    <cellStyle name="Comma 5" xfId="27" xr:uid="{16D4D554-1324-499B-8AC6-4FC82FF08554}"/>
    <cellStyle name="Comma 5 2 2" xfId="28" xr:uid="{A5D5E3A3-6767-4E6F-82D7-A20E50E204BF}"/>
    <cellStyle name="Normal" xfId="0" builtinId="0"/>
    <cellStyle name="Normal 2" xfId="29" xr:uid="{1FD5D994-F6D7-4534-B998-A579B29B4FB8}"/>
    <cellStyle name="Normal 2 2 2" xfId="30" xr:uid="{8446AE17-5FE2-4E0A-A13B-5A772467F500}"/>
    <cellStyle name="Normal 2 2 2 2" xfId="31" xr:uid="{B8C5C147-3D91-49F3-BD62-428EC19AD483}"/>
    <cellStyle name="Normal 2 3" xfId="32" xr:uid="{675BA76E-4B06-4CB2-84D1-FC508C1FCC9F}"/>
    <cellStyle name="Normal 3" xfId="33" xr:uid="{D8CB2BA0-95F6-4B46-BAF0-7E22315366DB}"/>
    <cellStyle name="Normal 4" xfId="34" xr:uid="{DFF13A96-C47C-4D62-B49F-D8649369507C}"/>
    <cellStyle name="Normal 4 2" xfId="35" xr:uid="{3B4D8421-3290-4059-BF51-5A024884E542}"/>
    <cellStyle name="Normal 7" xfId="36" xr:uid="{60071D18-4B66-48EF-9334-039EEE2BFED6}"/>
    <cellStyle name="Normal 8" xfId="37" xr:uid="{0ADC0739-7BA5-4260-982A-5A26D72054D7}"/>
    <cellStyle name="Percent 2" xfId="38" xr:uid="{0749A700-3D91-4A9B-B6B4-366AD8E21477}"/>
    <cellStyle name="Percent 2 2" xfId="39" xr:uid="{AC3EBF5A-CDC8-4CBA-8181-18FC4F890D54}"/>
    <cellStyle name="Percent 2 3" xfId="40" xr:uid="{C1497A11-0351-4EB8-8161-A52C1F92E847}"/>
    <cellStyle name="Percent 3" xfId="41" xr:uid="{3482F9AB-570C-4E84-9C11-74876651321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alcChain" Target="calcChain.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atacenter\rk2017\SHARE\Sriwahyuni's%20Data\Administrasi%20Proyek\Sriwahyuni\PRAKUALIFIKASI\TAHUN%202009\ARENG%202009\PLTU%20Tanjung%20Jati%20B\Form-DRTU-AEMP-PLTU-Tanjung%20Jati%20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tacenter\rk2017\SHARE\Sriwahyuni's%20Data\Administrasi%20Proyek\Sriwahyuni\PRAKUALIFIKASI\TAHUN%202009\ARENG%202009\PLN%202009\JASEN\Form-DRTU-FS%20PLTU%20Kalimantan%20Timur-%20Telu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atacenter\rk2017\Sriwahyuni's%20Data\Administrasi%20Proyek\Sriwahyuni\PRAKUALIFIKASI\TAHUN%202009\ARENG%202009\PLTU%20Tanjung%20Jati%20B\Form-DRTU-AEMP-PLTU-Tanjung%20Jati%20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tacenter\rk2017\Sriwahyuni's%20Data\Administrasi%20Proyek\Sriwahyuni\PRAKUALIFIKASI\TAHUN%202009\ARENG%202009\PLN%202009\JASEN\Form-DRTU-FS%20PLTU%20Kalimantan%20Timur-%20Teluk.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atacenter\rk2017\Sriwahyuni's%20Data\Administrasi%20Proyek\Sriwahyuni\PRAKUALIFIKASI\THN%20ANGGARAN%202010\ARENGM%202010\MIGAS%202010\Form-DRTU-MIGAS-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atacenter\rk2017\Sriwahyuni's%20Data\Administrasi%20Proyek\Sriwahyuni\PRAKUALIFIKASI\THN%20ANGGARAN%202010\ARENGM%202010\Kutai%20Kertanegara\Form-DRTU-DED%20PLTA%20Taba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Adm"/>
      <sheetName val="Pengurus"/>
      <sheetName val="Data_Keuangan "/>
      <sheetName val="Neraca 2007"/>
      <sheetName val="TA PLN JE"/>
      <sheetName val="Perlengkapan"/>
      <sheetName val="PP PLN (Final)"/>
      <sheetName val="PP PLN"/>
      <sheetName val="PP Supervisi"/>
      <sheetName val="PP_sedang_berjalan"/>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raca 2008"/>
      <sheetName val="TA PLN JE"/>
      <sheetName val="Perlengkapan"/>
      <sheetName val="PP PLN (Final)"/>
      <sheetName val="PP-sedang-berjalan "/>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Adm"/>
      <sheetName val="Pengurus"/>
      <sheetName val="Data_Keuangan "/>
      <sheetName val="Neraca 2007"/>
      <sheetName val="TA PLN JE"/>
      <sheetName val="Perlengkapan"/>
      <sheetName val="PP PLN (Final)"/>
      <sheetName val="PP PLN"/>
      <sheetName val="PP Supervisi"/>
      <sheetName val="PP_sedang_berjalan"/>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raca 2008"/>
      <sheetName val="TA PLN JE"/>
      <sheetName val="Perlengkapan"/>
      <sheetName val="PP PLN (Final)"/>
      <sheetName val="PP-sedang-berjalan "/>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raca 2008"/>
      <sheetName val="TA FEED Pemb Kilang Mini LPG"/>
      <sheetName val="TA Studi Penentuan Wil LPG"/>
      <sheetName val="TA Studi Optimalisasi"/>
      <sheetName val="TA-Studi K Pemb P Comp Natural "/>
      <sheetName val="Perlengkapan"/>
      <sheetName val="PP PLN (Final)"/>
      <sheetName val="PP-sedang-berjalan "/>
      <sheetName val="Neraca 2008 "/>
      <sheetName val="Sheet2"/>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raca 2009 (Revisi)"/>
      <sheetName val="TA TTR"/>
      <sheetName val="TA-Irigasi"/>
      <sheetName val="TA-Irigasi (Terpakai)"/>
      <sheetName val="TA PLTA"/>
      <sheetName val="Perlengkapan"/>
      <sheetName val="PP Irigasi"/>
      <sheetName val="PP PLTA"/>
      <sheetName val="PP Tata Ruang"/>
      <sheetName val="PP-sedang-berjalan  "/>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D065-5E52-47E4-9E87-5143D684020A}">
  <dimension ref="A1:DA425"/>
  <sheetViews>
    <sheetView tabSelected="1" view="pageBreakPreview" topLeftCell="A115" zoomScale="80" zoomScaleNormal="100" zoomScaleSheetLayoutView="80" workbookViewId="0">
      <selection activeCell="Q54" sqref="Q54"/>
    </sheetView>
  </sheetViews>
  <sheetFormatPr defaultRowHeight="12.5" x14ac:dyDescent="0.25"/>
  <cols>
    <col min="1" max="1" width="4.453125" customWidth="1"/>
    <col min="2" max="3" width="0.7265625" customWidth="1"/>
    <col min="4" max="4" width="2.7265625" customWidth="1"/>
    <col min="5" max="5" width="6.7265625" customWidth="1"/>
    <col min="6" max="7" width="8.7265625" customWidth="1"/>
    <col min="8" max="8" width="9.7265625" customWidth="1"/>
    <col min="9" max="10" width="0.7265625" customWidth="1"/>
    <col min="11" max="11" width="22.453125" customWidth="1"/>
    <col min="12" max="13" width="0.7265625" customWidth="1"/>
    <col min="14" max="14" width="19.26953125" customWidth="1"/>
    <col min="15" max="16" width="0.7265625" customWidth="1"/>
    <col min="17" max="17" width="8.7265625" customWidth="1"/>
    <col min="18" max="18" width="9.7265625" customWidth="1"/>
    <col min="19" max="19" width="9.453125" customWidth="1"/>
    <col min="20" max="21" width="0.81640625" hidden="1" customWidth="1"/>
    <col min="22" max="23" width="0.81640625" customWidth="1"/>
    <col min="24" max="24" width="9.54296875" customWidth="1"/>
    <col min="25" max="26" width="0.7265625" customWidth="1"/>
    <col min="27" max="27" width="30" customWidth="1"/>
    <col min="28" max="29" width="0.7265625" customWidth="1"/>
    <col min="30" max="30" width="18.7265625" customWidth="1"/>
    <col min="31" max="31" width="0.81640625" customWidth="1"/>
    <col min="32" max="32" width="0.7265625" customWidth="1"/>
    <col min="33" max="33" width="10.7265625" customWidth="1"/>
    <col min="34" max="35" width="0.81640625" customWidth="1"/>
    <col min="36" max="36" width="10.7265625" customWidth="1"/>
    <col min="37" max="37" width="0.81640625" customWidth="1"/>
    <col min="38" max="38" width="15" bestFit="1" customWidth="1"/>
  </cols>
  <sheetData>
    <row r="1" spans="1:105" ht="12.75" customHeight="1" x14ac:dyDescent="0.3">
      <c r="A1" s="41"/>
      <c r="B1" s="42" t="s">
        <v>224</v>
      </c>
      <c r="C1" s="43"/>
      <c r="D1" s="44"/>
      <c r="E1" s="45"/>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pans="1:105" ht="12.75" customHeight="1" thickBot="1" x14ac:dyDescent="0.35">
      <c r="A2" s="1"/>
      <c r="B2" s="1"/>
      <c r="C2" s="2"/>
      <c r="D2" s="3"/>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105" ht="12.75" customHeight="1" thickTop="1" x14ac:dyDescent="0.3">
      <c r="A3" s="24"/>
      <c r="B3" s="25"/>
      <c r="C3" s="26"/>
      <c r="D3" s="26"/>
      <c r="E3" s="26"/>
      <c r="F3" s="26"/>
      <c r="G3" s="26"/>
      <c r="H3" s="26"/>
      <c r="I3" s="25"/>
      <c r="J3" s="242" t="s">
        <v>29</v>
      </c>
      <c r="K3" s="243"/>
      <c r="L3" s="244"/>
      <c r="M3" s="242" t="s">
        <v>0</v>
      </c>
      <c r="N3" s="243"/>
      <c r="O3" s="244"/>
      <c r="P3" s="242" t="s">
        <v>1</v>
      </c>
      <c r="Q3" s="252"/>
      <c r="R3" s="252"/>
      <c r="S3" s="252"/>
      <c r="T3" s="252"/>
      <c r="U3" s="252"/>
      <c r="V3" s="252"/>
      <c r="W3" s="252"/>
      <c r="X3" s="252"/>
      <c r="Y3" s="253"/>
      <c r="Z3" s="242" t="s">
        <v>2</v>
      </c>
      <c r="AA3" s="252"/>
      <c r="AB3" s="252"/>
      <c r="AC3" s="252"/>
      <c r="AD3" s="252"/>
      <c r="AE3" s="252"/>
      <c r="AF3" s="242" t="s">
        <v>3</v>
      </c>
      <c r="AG3" s="252"/>
      <c r="AH3" s="252"/>
      <c r="AI3" s="252"/>
      <c r="AJ3" s="252"/>
      <c r="AK3" s="274"/>
      <c r="AL3" s="6"/>
      <c r="AM3" s="6"/>
      <c r="AN3" s="6"/>
      <c r="AO3" s="6"/>
      <c r="AP3" s="6"/>
      <c r="AQ3" s="6"/>
      <c r="AR3" s="6"/>
      <c r="AS3" s="6"/>
      <c r="AT3" s="6"/>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row>
    <row r="4" spans="1:105" ht="12.75" customHeight="1" x14ac:dyDescent="0.25">
      <c r="A4" s="266" t="s">
        <v>4</v>
      </c>
      <c r="B4" s="247"/>
      <c r="C4" s="268" t="s">
        <v>5</v>
      </c>
      <c r="D4" s="246"/>
      <c r="E4" s="246"/>
      <c r="F4" s="246"/>
      <c r="G4" s="246"/>
      <c r="H4" s="246"/>
      <c r="I4" s="247"/>
      <c r="J4" s="245"/>
      <c r="K4" s="246"/>
      <c r="L4" s="247"/>
      <c r="M4" s="245"/>
      <c r="N4" s="246"/>
      <c r="O4" s="247"/>
      <c r="P4" s="254"/>
      <c r="Q4" s="255"/>
      <c r="R4" s="255"/>
      <c r="S4" s="255"/>
      <c r="T4" s="255"/>
      <c r="U4" s="255"/>
      <c r="V4" s="255"/>
      <c r="W4" s="255"/>
      <c r="X4" s="255"/>
      <c r="Y4" s="256"/>
      <c r="Z4" s="254"/>
      <c r="AA4" s="255"/>
      <c r="AB4" s="255"/>
      <c r="AC4" s="255"/>
      <c r="AD4" s="255"/>
      <c r="AE4" s="255"/>
      <c r="AF4" s="254"/>
      <c r="AG4" s="255"/>
      <c r="AH4" s="255"/>
      <c r="AI4" s="255"/>
      <c r="AJ4" s="255"/>
      <c r="AK4" s="275"/>
      <c r="AL4" s="6"/>
      <c r="AM4" s="6"/>
      <c r="AN4" s="6"/>
      <c r="AO4" s="6"/>
      <c r="AP4" s="6"/>
      <c r="AQ4" s="6"/>
      <c r="AR4" s="6"/>
      <c r="AS4" s="6"/>
      <c r="AT4" s="6"/>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row>
    <row r="5" spans="1:105" ht="12.75" customHeight="1" x14ac:dyDescent="0.25">
      <c r="A5" s="267"/>
      <c r="B5" s="247"/>
      <c r="C5" s="245"/>
      <c r="D5" s="246"/>
      <c r="E5" s="246"/>
      <c r="F5" s="246"/>
      <c r="G5" s="246"/>
      <c r="H5" s="246"/>
      <c r="I5" s="247"/>
      <c r="J5" s="245"/>
      <c r="K5" s="246"/>
      <c r="L5" s="247"/>
      <c r="M5" s="245"/>
      <c r="N5" s="246"/>
      <c r="O5" s="247"/>
      <c r="P5" s="257" t="s">
        <v>6</v>
      </c>
      <c r="Q5" s="269"/>
      <c r="R5" s="269"/>
      <c r="S5" s="269"/>
      <c r="T5" s="27"/>
      <c r="U5" s="27"/>
      <c r="V5" s="28"/>
      <c r="W5" s="257" t="s">
        <v>7</v>
      </c>
      <c r="X5" s="258"/>
      <c r="Y5" s="259"/>
      <c r="Z5" s="257" t="s">
        <v>8</v>
      </c>
      <c r="AA5" s="269"/>
      <c r="AB5" s="272"/>
      <c r="AC5" s="257" t="s">
        <v>9</v>
      </c>
      <c r="AD5" s="258"/>
      <c r="AE5" s="259"/>
      <c r="AF5" s="257" t="s">
        <v>2</v>
      </c>
      <c r="AG5" s="258"/>
      <c r="AH5" s="259"/>
      <c r="AI5" s="257" t="s">
        <v>10</v>
      </c>
      <c r="AJ5" s="258"/>
      <c r="AK5" s="263"/>
      <c r="AL5" s="6"/>
      <c r="AM5" s="6"/>
      <c r="AN5" s="6"/>
      <c r="AO5" s="6"/>
      <c r="AP5" s="6"/>
      <c r="AQ5" s="6"/>
      <c r="AR5" s="6"/>
      <c r="AS5" s="6"/>
      <c r="AT5" s="6"/>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row>
    <row r="6" spans="1:105" ht="12.75" customHeight="1" thickBot="1" x14ac:dyDescent="0.3">
      <c r="A6" s="29"/>
      <c r="B6" s="30"/>
      <c r="C6" s="31"/>
      <c r="D6" s="31"/>
      <c r="E6" s="31"/>
      <c r="F6" s="31"/>
      <c r="G6" s="31"/>
      <c r="H6" s="31"/>
      <c r="I6" s="30"/>
      <c r="J6" s="248"/>
      <c r="K6" s="249"/>
      <c r="L6" s="250"/>
      <c r="M6" s="248"/>
      <c r="N6" s="249"/>
      <c r="O6" s="250"/>
      <c r="P6" s="270"/>
      <c r="Q6" s="271"/>
      <c r="R6" s="271"/>
      <c r="S6" s="271"/>
      <c r="T6" s="32"/>
      <c r="U6" s="32"/>
      <c r="V6" s="33"/>
      <c r="W6" s="260"/>
      <c r="X6" s="261"/>
      <c r="Y6" s="262"/>
      <c r="Z6" s="270"/>
      <c r="AA6" s="271"/>
      <c r="AB6" s="273"/>
      <c r="AC6" s="260"/>
      <c r="AD6" s="261"/>
      <c r="AE6" s="262"/>
      <c r="AF6" s="260"/>
      <c r="AG6" s="261"/>
      <c r="AH6" s="262"/>
      <c r="AI6" s="260"/>
      <c r="AJ6" s="261"/>
      <c r="AK6" s="264"/>
      <c r="AL6" s="6"/>
      <c r="AM6" s="6"/>
      <c r="AN6" s="6"/>
      <c r="AO6" s="6"/>
      <c r="AP6" s="6"/>
      <c r="AQ6" s="6"/>
      <c r="AR6" s="6"/>
      <c r="AS6" s="6"/>
      <c r="AT6" s="6"/>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row>
    <row r="7" spans="1:105" ht="12.75" customHeight="1" thickTop="1" thickBot="1" x14ac:dyDescent="0.3">
      <c r="A7" s="276" t="s">
        <v>11</v>
      </c>
      <c r="B7" s="241"/>
      <c r="C7" s="239" t="s">
        <v>12</v>
      </c>
      <c r="D7" s="240"/>
      <c r="E7" s="240"/>
      <c r="F7" s="240"/>
      <c r="G7" s="240"/>
      <c r="H7" s="240"/>
      <c r="I7" s="241"/>
      <c r="J7" s="251">
        <v>3</v>
      </c>
      <c r="K7" s="240"/>
      <c r="L7" s="241"/>
      <c r="M7" s="239" t="s">
        <v>13</v>
      </c>
      <c r="N7" s="240"/>
      <c r="O7" s="241"/>
      <c r="P7" s="239" t="s">
        <v>14</v>
      </c>
      <c r="Q7" s="240"/>
      <c r="R7" s="240"/>
      <c r="S7" s="240"/>
      <c r="T7" s="240"/>
      <c r="U7" s="240"/>
      <c r="V7" s="241"/>
      <c r="W7" s="239" t="s">
        <v>15</v>
      </c>
      <c r="X7" s="240"/>
      <c r="Y7" s="241"/>
      <c r="Z7" s="239" t="s">
        <v>16</v>
      </c>
      <c r="AA7" s="240"/>
      <c r="AB7" s="241"/>
      <c r="AC7" s="239" t="s">
        <v>17</v>
      </c>
      <c r="AD7" s="240"/>
      <c r="AE7" s="241"/>
      <c r="AF7" s="239" t="s">
        <v>18</v>
      </c>
      <c r="AG7" s="240"/>
      <c r="AH7" s="241"/>
      <c r="AI7" s="239" t="s">
        <v>19</v>
      </c>
      <c r="AJ7" s="240"/>
      <c r="AK7" s="265"/>
      <c r="AL7" s="6"/>
      <c r="AM7" s="6"/>
      <c r="AN7" s="6"/>
      <c r="AO7" s="6"/>
      <c r="AP7" s="6"/>
      <c r="AQ7" s="6"/>
      <c r="AR7" s="6"/>
      <c r="AS7" s="6"/>
      <c r="AT7" s="6"/>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row>
    <row r="8" spans="1:105" ht="12.75" customHeight="1" thickTop="1" x14ac:dyDescent="0.25">
      <c r="A8" s="94"/>
      <c r="B8" s="95"/>
      <c r="C8" s="96"/>
      <c r="D8" s="97"/>
      <c r="E8" s="97"/>
      <c r="F8" s="97"/>
      <c r="G8" s="97"/>
      <c r="H8" s="97"/>
      <c r="I8" s="95"/>
      <c r="J8" s="98"/>
      <c r="K8" s="97"/>
      <c r="L8" s="95"/>
      <c r="M8" s="96"/>
      <c r="N8" s="97"/>
      <c r="O8" s="95"/>
      <c r="P8" s="96"/>
      <c r="Q8" s="97"/>
      <c r="R8" s="97"/>
      <c r="S8" s="97"/>
      <c r="T8" s="97"/>
      <c r="U8" s="97"/>
      <c r="V8" s="95"/>
      <c r="W8" s="96"/>
      <c r="X8" s="97"/>
      <c r="Y8" s="95"/>
      <c r="Z8" s="96"/>
      <c r="AA8" s="97"/>
      <c r="AB8" s="95"/>
      <c r="AC8" s="96"/>
      <c r="AD8" s="97"/>
      <c r="AE8" s="95"/>
      <c r="AF8" s="96"/>
      <c r="AG8" s="97"/>
      <c r="AH8" s="95"/>
      <c r="AI8" s="96"/>
      <c r="AJ8" s="97"/>
      <c r="AK8" s="99"/>
      <c r="AL8" s="6"/>
      <c r="AM8" s="6"/>
      <c r="AN8" s="6"/>
      <c r="AO8" s="6"/>
      <c r="AP8" s="6"/>
      <c r="AQ8" s="6"/>
      <c r="AR8" s="6"/>
      <c r="AS8" s="6"/>
      <c r="AT8" s="6"/>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row>
    <row r="9" spans="1:105" ht="12" customHeight="1" x14ac:dyDescent="0.3">
      <c r="A9" s="102" t="s">
        <v>89</v>
      </c>
      <c r="B9" s="103"/>
      <c r="C9" s="108"/>
      <c r="D9" s="108" t="s">
        <v>171</v>
      </c>
      <c r="E9" s="108"/>
      <c r="F9" s="108"/>
      <c r="G9" s="108"/>
      <c r="H9" s="108"/>
      <c r="I9" s="109"/>
      <c r="J9" s="110"/>
      <c r="K9" s="110"/>
      <c r="L9" s="109"/>
      <c r="M9" s="110"/>
      <c r="N9" s="110"/>
      <c r="O9" s="109"/>
      <c r="P9" s="110"/>
      <c r="Q9" s="110"/>
      <c r="R9" s="110"/>
      <c r="S9" s="110"/>
      <c r="T9" s="109"/>
      <c r="U9" s="110"/>
      <c r="V9" s="109"/>
      <c r="W9" s="110"/>
      <c r="X9" s="110"/>
      <c r="Y9" s="109"/>
      <c r="Z9" s="110"/>
      <c r="AA9" s="110"/>
      <c r="AB9" s="109"/>
      <c r="AC9" s="110"/>
      <c r="AD9" s="110"/>
      <c r="AE9" s="109"/>
      <c r="AF9" s="111"/>
      <c r="AG9" s="110"/>
      <c r="AH9" s="109"/>
      <c r="AI9" s="110"/>
      <c r="AJ9" s="110"/>
      <c r="AK9" s="112"/>
      <c r="AL9" s="13"/>
      <c r="AM9" s="6"/>
      <c r="AN9" s="6"/>
      <c r="AO9" s="6"/>
      <c r="AP9" s="6"/>
      <c r="AQ9" s="6"/>
      <c r="AR9" s="6"/>
      <c r="AS9" s="6"/>
      <c r="AT9" s="6"/>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row>
    <row r="10" spans="1:105" ht="12" customHeight="1" x14ac:dyDescent="0.3">
      <c r="A10" s="46">
        <v>1</v>
      </c>
      <c r="B10" s="114"/>
      <c r="C10" s="115"/>
      <c r="D10" s="208" t="s">
        <v>225</v>
      </c>
      <c r="E10" s="209"/>
      <c r="F10" s="209"/>
      <c r="G10" s="209"/>
      <c r="H10" s="209"/>
      <c r="I10" s="36"/>
      <c r="J10" s="116"/>
      <c r="K10" s="165" t="s">
        <v>100</v>
      </c>
      <c r="L10" s="36"/>
      <c r="M10" s="116"/>
      <c r="N10" s="165" t="s">
        <v>226</v>
      </c>
      <c r="O10" s="36"/>
      <c r="P10" s="116"/>
      <c r="Q10" s="211" t="s">
        <v>227</v>
      </c>
      <c r="R10" s="211"/>
      <c r="S10" s="211"/>
      <c r="T10" s="36"/>
      <c r="U10" s="116"/>
      <c r="V10" s="36"/>
      <c r="W10" s="116"/>
      <c r="X10" s="165" t="s">
        <v>228</v>
      </c>
      <c r="Y10" s="36"/>
      <c r="Z10" s="116"/>
      <c r="AA10" s="212" t="s">
        <v>230</v>
      </c>
      <c r="AB10" s="36"/>
      <c r="AC10" s="116"/>
      <c r="AD10" s="10">
        <v>81172365501</v>
      </c>
      <c r="AE10" s="36"/>
      <c r="AF10" s="116"/>
      <c r="AG10" s="166" t="s">
        <v>232</v>
      </c>
      <c r="AH10" s="36"/>
      <c r="AI10" s="116"/>
      <c r="AJ10" s="116"/>
      <c r="AK10" s="37"/>
      <c r="AL10" s="13"/>
      <c r="AM10" s="6"/>
      <c r="AN10" s="6"/>
      <c r="AO10" s="6"/>
      <c r="AP10" s="6"/>
      <c r="AQ10" s="6"/>
      <c r="AR10" s="6"/>
      <c r="AS10" s="6"/>
      <c r="AT10" s="6"/>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row>
    <row r="11" spans="1:105" ht="12" customHeight="1" x14ac:dyDescent="0.3">
      <c r="A11" s="46"/>
      <c r="B11" s="114"/>
      <c r="C11" s="115"/>
      <c r="D11" s="209"/>
      <c r="E11" s="209"/>
      <c r="F11" s="209"/>
      <c r="G11" s="209"/>
      <c r="H11" s="209"/>
      <c r="I11" s="36"/>
      <c r="J11" s="116"/>
      <c r="K11" s="116"/>
      <c r="L11" s="36"/>
      <c r="M11" s="116"/>
      <c r="N11" s="116"/>
      <c r="O11" s="36"/>
      <c r="P11" s="116"/>
      <c r="Q11" s="211"/>
      <c r="R11" s="211"/>
      <c r="S11" s="211"/>
      <c r="T11" s="36"/>
      <c r="U11" s="116"/>
      <c r="V11" s="36"/>
      <c r="W11" s="116"/>
      <c r="X11" s="165" t="s">
        <v>229</v>
      </c>
      <c r="Y11" s="36"/>
      <c r="Z11" s="116"/>
      <c r="AA11" s="212"/>
      <c r="AB11" s="36"/>
      <c r="AC11" s="116"/>
      <c r="AD11" s="116"/>
      <c r="AE11" s="36"/>
      <c r="AF11" s="116"/>
      <c r="AG11" s="116"/>
      <c r="AH11" s="36"/>
      <c r="AI11" s="116"/>
      <c r="AJ11" s="116"/>
      <c r="AK11" s="37"/>
      <c r="AL11" s="13"/>
      <c r="AM11" s="6"/>
      <c r="AN11" s="6"/>
      <c r="AO11" s="6"/>
      <c r="AP11" s="6"/>
      <c r="AQ11" s="6"/>
      <c r="AR11" s="6"/>
      <c r="AS11" s="6"/>
      <c r="AT11" s="6"/>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row>
    <row r="12" spans="1:105" ht="12" customHeight="1" x14ac:dyDescent="0.3">
      <c r="A12" s="46"/>
      <c r="B12" s="114"/>
      <c r="C12" s="115"/>
      <c r="D12" s="210"/>
      <c r="E12" s="210"/>
      <c r="F12" s="210"/>
      <c r="G12" s="210"/>
      <c r="H12" s="210"/>
      <c r="I12" s="36"/>
      <c r="J12" s="116"/>
      <c r="K12" s="116"/>
      <c r="L12" s="36"/>
      <c r="M12" s="116"/>
      <c r="N12" s="116"/>
      <c r="O12" s="36"/>
      <c r="P12" s="116"/>
      <c r="Q12" s="211"/>
      <c r="R12" s="211"/>
      <c r="S12" s="211"/>
      <c r="T12" s="36"/>
      <c r="U12" s="116"/>
      <c r="V12" s="36"/>
      <c r="W12" s="116"/>
      <c r="X12" s="116"/>
      <c r="Y12" s="36"/>
      <c r="Z12" s="116"/>
      <c r="AA12" s="166" t="s">
        <v>231</v>
      </c>
      <c r="AB12" s="36"/>
      <c r="AC12" s="116"/>
      <c r="AD12" s="116"/>
      <c r="AE12" s="36"/>
      <c r="AF12" s="116"/>
      <c r="AG12" s="116"/>
      <c r="AH12" s="36"/>
      <c r="AI12" s="116"/>
      <c r="AJ12" s="116"/>
      <c r="AK12" s="37"/>
      <c r="AL12" s="13"/>
      <c r="AM12" s="6"/>
      <c r="AN12" s="6"/>
      <c r="AO12" s="6"/>
      <c r="AP12" s="6"/>
      <c r="AQ12" s="6"/>
      <c r="AR12" s="6"/>
      <c r="AS12" s="6"/>
      <c r="AT12" s="6"/>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row>
    <row r="13" spans="1:105" ht="12" customHeight="1" x14ac:dyDescent="0.3">
      <c r="A13" s="46"/>
      <c r="B13" s="114"/>
      <c r="C13" s="115"/>
      <c r="D13" s="115"/>
      <c r="E13" s="115"/>
      <c r="F13" s="115"/>
      <c r="G13" s="115"/>
      <c r="H13" s="115"/>
      <c r="I13" s="36"/>
      <c r="J13" s="116"/>
      <c r="K13" s="116"/>
      <c r="L13" s="36"/>
      <c r="M13" s="116"/>
      <c r="N13" s="116"/>
      <c r="O13" s="36"/>
      <c r="P13" s="116"/>
      <c r="Q13" s="116"/>
      <c r="R13" s="116"/>
      <c r="S13" s="116"/>
      <c r="T13" s="36"/>
      <c r="U13" s="116"/>
      <c r="V13" s="36"/>
      <c r="W13" s="116"/>
      <c r="X13" s="116"/>
      <c r="Y13" s="36"/>
      <c r="Z13" s="116"/>
      <c r="AA13" s="116"/>
      <c r="AB13" s="36"/>
      <c r="AC13" s="116"/>
      <c r="AD13" s="116"/>
      <c r="AE13" s="36"/>
      <c r="AF13" s="116"/>
      <c r="AG13" s="116"/>
      <c r="AH13" s="36"/>
      <c r="AI13" s="116"/>
      <c r="AJ13" s="116"/>
      <c r="AK13" s="37"/>
      <c r="AL13" s="13"/>
      <c r="AM13" s="6"/>
      <c r="AN13" s="6"/>
      <c r="AO13" s="6"/>
      <c r="AP13" s="6"/>
      <c r="AQ13" s="6"/>
      <c r="AR13" s="6"/>
      <c r="AS13" s="6"/>
      <c r="AT13" s="6"/>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row>
    <row r="14" spans="1:105" ht="12" customHeight="1" x14ac:dyDescent="0.3">
      <c r="A14" s="46">
        <v>2</v>
      </c>
      <c r="B14" s="114"/>
      <c r="C14" s="115"/>
      <c r="D14" s="208" t="s">
        <v>236</v>
      </c>
      <c r="E14" s="209"/>
      <c r="F14" s="209"/>
      <c r="G14" s="209"/>
      <c r="H14" s="209"/>
      <c r="I14" s="36"/>
      <c r="J14" s="116"/>
      <c r="K14" s="165" t="s">
        <v>162</v>
      </c>
      <c r="L14" s="36"/>
      <c r="M14" s="116"/>
      <c r="N14" s="165" t="s">
        <v>237</v>
      </c>
      <c r="O14" s="36"/>
      <c r="P14" s="116"/>
      <c r="Q14" s="165" t="s">
        <v>238</v>
      </c>
      <c r="R14" s="116"/>
      <c r="S14" s="116"/>
      <c r="T14" s="36"/>
      <c r="U14" s="116"/>
      <c r="V14" s="36"/>
      <c r="W14" s="116"/>
      <c r="X14" s="165" t="s">
        <v>22</v>
      </c>
      <c r="Y14" s="36"/>
      <c r="Z14" s="116"/>
      <c r="AA14" s="166" t="s">
        <v>239</v>
      </c>
      <c r="AB14" s="36"/>
      <c r="AC14" s="116"/>
      <c r="AD14" s="10">
        <v>2418412500</v>
      </c>
      <c r="AE14" s="36"/>
      <c r="AF14" s="116"/>
      <c r="AG14" s="166" t="s">
        <v>241</v>
      </c>
      <c r="AH14" s="36"/>
      <c r="AI14" s="116"/>
      <c r="AJ14" s="116"/>
      <c r="AK14" s="37"/>
      <c r="AL14" s="13"/>
      <c r="AM14" s="6"/>
      <c r="AN14" s="6"/>
      <c r="AO14" s="6"/>
      <c r="AP14" s="6"/>
      <c r="AQ14" s="6"/>
      <c r="AR14" s="6"/>
      <c r="AS14" s="6"/>
      <c r="AT14" s="6"/>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row>
    <row r="15" spans="1:105" ht="12" customHeight="1" x14ac:dyDescent="0.3">
      <c r="A15" s="46"/>
      <c r="B15" s="114"/>
      <c r="C15" s="115"/>
      <c r="D15" s="209"/>
      <c r="E15" s="209"/>
      <c r="F15" s="209"/>
      <c r="G15" s="209"/>
      <c r="H15" s="209"/>
      <c r="I15" s="36"/>
      <c r="J15" s="116"/>
      <c r="K15" s="116"/>
      <c r="L15" s="36"/>
      <c r="M15" s="116"/>
      <c r="N15" s="116"/>
      <c r="O15" s="36"/>
      <c r="P15" s="116"/>
      <c r="Q15" s="116"/>
      <c r="R15" s="116"/>
      <c r="S15" s="116"/>
      <c r="T15" s="36"/>
      <c r="U15" s="116"/>
      <c r="V15" s="36"/>
      <c r="W15" s="116"/>
      <c r="X15" s="116"/>
      <c r="Y15" s="36"/>
      <c r="Z15" s="116"/>
      <c r="AA15" s="166" t="s">
        <v>240</v>
      </c>
      <c r="AB15" s="36"/>
      <c r="AC15" s="116"/>
      <c r="AD15" s="116"/>
      <c r="AE15" s="36"/>
      <c r="AF15" s="116"/>
      <c r="AG15" s="116"/>
      <c r="AH15" s="36"/>
      <c r="AI15" s="116"/>
      <c r="AJ15" s="116"/>
      <c r="AK15" s="37"/>
      <c r="AL15" s="13"/>
      <c r="AM15" s="6"/>
      <c r="AN15" s="6"/>
      <c r="AO15" s="6"/>
      <c r="AP15" s="6"/>
      <c r="AQ15" s="6"/>
      <c r="AR15" s="6"/>
      <c r="AS15" s="6"/>
      <c r="AT15" s="6"/>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row>
    <row r="16" spans="1:105" ht="12" customHeight="1" x14ac:dyDescent="0.3">
      <c r="A16" s="46"/>
      <c r="B16" s="114"/>
      <c r="C16" s="115"/>
      <c r="D16" s="210"/>
      <c r="E16" s="210"/>
      <c r="F16" s="210"/>
      <c r="G16" s="210"/>
      <c r="H16" s="210"/>
      <c r="I16" s="36"/>
      <c r="J16" s="116"/>
      <c r="K16" s="116"/>
      <c r="L16" s="36"/>
      <c r="M16" s="116"/>
      <c r="N16" s="116"/>
      <c r="O16" s="36"/>
      <c r="P16" s="116"/>
      <c r="Q16" s="116"/>
      <c r="R16" s="116"/>
      <c r="S16" s="116"/>
      <c r="T16" s="36"/>
      <c r="U16" s="116"/>
      <c r="V16" s="36"/>
      <c r="W16" s="116"/>
      <c r="X16" s="116"/>
      <c r="Y16" s="36"/>
      <c r="Z16" s="116"/>
      <c r="AA16" s="116"/>
      <c r="AB16" s="36"/>
      <c r="AC16" s="116"/>
      <c r="AD16" s="116"/>
      <c r="AE16" s="36"/>
      <c r="AF16" s="116"/>
      <c r="AG16" s="116"/>
      <c r="AH16" s="36"/>
      <c r="AI16" s="116"/>
      <c r="AJ16" s="116"/>
      <c r="AK16" s="37"/>
      <c r="AL16" s="13"/>
      <c r="AM16" s="6"/>
      <c r="AN16" s="6"/>
      <c r="AO16" s="6"/>
      <c r="AP16" s="6"/>
      <c r="AQ16" s="6"/>
      <c r="AR16" s="6"/>
      <c r="AS16" s="6"/>
      <c r="AT16" s="6"/>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row>
    <row r="17" spans="1:105" ht="12" customHeight="1" x14ac:dyDescent="0.3">
      <c r="A17" s="46"/>
      <c r="B17" s="114"/>
      <c r="C17" s="115"/>
      <c r="D17" s="115"/>
      <c r="E17" s="115"/>
      <c r="F17" s="115"/>
      <c r="G17" s="115"/>
      <c r="H17" s="115"/>
      <c r="I17" s="36"/>
      <c r="J17" s="116"/>
      <c r="K17" s="116"/>
      <c r="L17" s="36"/>
      <c r="M17" s="116"/>
      <c r="N17" s="116"/>
      <c r="O17" s="36"/>
      <c r="P17" s="116"/>
      <c r="Q17" s="116"/>
      <c r="R17" s="116"/>
      <c r="S17" s="116"/>
      <c r="T17" s="36"/>
      <c r="U17" s="116"/>
      <c r="V17" s="36"/>
      <c r="W17" s="116"/>
      <c r="X17" s="116"/>
      <c r="Y17" s="36"/>
      <c r="Z17" s="116"/>
      <c r="AA17" s="116"/>
      <c r="AB17" s="36"/>
      <c r="AC17" s="116"/>
      <c r="AD17" s="116"/>
      <c r="AE17" s="36"/>
      <c r="AF17" s="116"/>
      <c r="AG17" s="116"/>
      <c r="AH17" s="36"/>
      <c r="AI17" s="116"/>
      <c r="AJ17" s="116"/>
      <c r="AK17" s="37"/>
      <c r="AL17" s="13"/>
      <c r="AM17" s="6"/>
      <c r="AN17" s="6"/>
      <c r="AO17" s="6"/>
      <c r="AP17" s="6"/>
      <c r="AQ17" s="6"/>
      <c r="AR17" s="6"/>
      <c r="AS17" s="6"/>
      <c r="AT17" s="6"/>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row>
    <row r="18" spans="1:105" ht="12" customHeight="1" x14ac:dyDescent="0.3">
      <c r="A18" s="46">
        <v>3</v>
      </c>
      <c r="B18" s="114"/>
      <c r="C18" s="115"/>
      <c r="D18" s="208" t="s">
        <v>242</v>
      </c>
      <c r="E18" s="209"/>
      <c r="F18" s="209"/>
      <c r="G18" s="209"/>
      <c r="H18" s="209"/>
      <c r="I18" s="36"/>
      <c r="J18" s="116"/>
      <c r="K18" s="165" t="s">
        <v>243</v>
      </c>
      <c r="L18" s="36"/>
      <c r="M18" s="116"/>
      <c r="N18" s="165" t="s">
        <v>244</v>
      </c>
      <c r="O18" s="36"/>
      <c r="P18" s="116"/>
      <c r="Q18" s="165" t="s">
        <v>238</v>
      </c>
      <c r="R18" s="116"/>
      <c r="S18" s="116"/>
      <c r="T18" s="36"/>
      <c r="U18" s="116"/>
      <c r="V18" s="36"/>
      <c r="W18" s="116"/>
      <c r="X18" s="165" t="s">
        <v>22</v>
      </c>
      <c r="Y18" s="36"/>
      <c r="Z18" s="116"/>
      <c r="AA18" s="166" t="s">
        <v>245</v>
      </c>
      <c r="AB18" s="36"/>
      <c r="AC18" s="116"/>
      <c r="AD18" s="10">
        <v>609945000</v>
      </c>
      <c r="AE18" s="36"/>
      <c r="AF18" s="116"/>
      <c r="AG18" s="166" t="s">
        <v>241</v>
      </c>
      <c r="AH18" s="36"/>
      <c r="AI18" s="116"/>
      <c r="AJ18" s="116"/>
      <c r="AK18" s="37"/>
      <c r="AL18" s="13"/>
      <c r="AM18" s="6"/>
      <c r="AN18" s="6"/>
      <c r="AO18" s="6"/>
      <c r="AP18" s="6"/>
      <c r="AQ18" s="6"/>
      <c r="AR18" s="6"/>
      <c r="AS18" s="6"/>
      <c r="AT18" s="6"/>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row>
    <row r="19" spans="1:105" ht="12" customHeight="1" x14ac:dyDescent="0.3">
      <c r="A19" s="46"/>
      <c r="B19" s="114"/>
      <c r="C19" s="115"/>
      <c r="D19" s="209"/>
      <c r="E19" s="209"/>
      <c r="F19" s="209"/>
      <c r="G19" s="209"/>
      <c r="H19" s="209"/>
      <c r="I19" s="36"/>
      <c r="J19" s="116"/>
      <c r="K19" s="116"/>
      <c r="L19" s="36"/>
      <c r="M19" s="116"/>
      <c r="N19" s="116"/>
      <c r="O19" s="36"/>
      <c r="P19" s="116"/>
      <c r="Q19" s="116"/>
      <c r="R19" s="116"/>
      <c r="S19" s="116"/>
      <c r="T19" s="36"/>
      <c r="U19" s="116"/>
      <c r="V19" s="36"/>
      <c r="W19" s="116"/>
      <c r="X19" s="116"/>
      <c r="Y19" s="36"/>
      <c r="Z19" s="116"/>
      <c r="AA19" s="166" t="s">
        <v>246</v>
      </c>
      <c r="AB19" s="36"/>
      <c r="AC19" s="116"/>
      <c r="AD19" s="116"/>
      <c r="AE19" s="36"/>
      <c r="AF19" s="116"/>
      <c r="AG19" s="116"/>
      <c r="AH19" s="36"/>
      <c r="AI19" s="116"/>
      <c r="AJ19" s="116"/>
      <c r="AK19" s="37"/>
      <c r="AL19" s="13"/>
      <c r="AM19" s="6"/>
      <c r="AN19" s="6"/>
      <c r="AO19" s="6"/>
      <c r="AP19" s="6"/>
      <c r="AQ19" s="6"/>
      <c r="AR19" s="6"/>
      <c r="AS19" s="6"/>
      <c r="AT19" s="6"/>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row>
    <row r="20" spans="1:105" ht="12" customHeight="1" x14ac:dyDescent="0.3">
      <c r="A20" s="46"/>
      <c r="B20" s="114"/>
      <c r="C20" s="115"/>
      <c r="D20" s="210"/>
      <c r="E20" s="210"/>
      <c r="F20" s="210"/>
      <c r="G20" s="210"/>
      <c r="H20" s="210"/>
      <c r="I20" s="36"/>
      <c r="J20" s="116"/>
      <c r="K20" s="116"/>
      <c r="L20" s="36"/>
      <c r="M20" s="116"/>
      <c r="N20" s="116"/>
      <c r="O20" s="36"/>
      <c r="P20" s="116"/>
      <c r="Q20" s="116"/>
      <c r="R20" s="116"/>
      <c r="S20" s="116"/>
      <c r="T20" s="36"/>
      <c r="U20" s="116"/>
      <c r="V20" s="36"/>
      <c r="W20" s="116"/>
      <c r="X20" s="116"/>
      <c r="Y20" s="36"/>
      <c r="Z20" s="116"/>
      <c r="AA20" s="116"/>
      <c r="AB20" s="36"/>
      <c r="AC20" s="116"/>
      <c r="AD20" s="116"/>
      <c r="AE20" s="36"/>
      <c r="AF20" s="116"/>
      <c r="AG20" s="116"/>
      <c r="AH20" s="36"/>
      <c r="AI20" s="116"/>
      <c r="AJ20" s="116"/>
      <c r="AK20" s="37"/>
      <c r="AL20" s="13"/>
      <c r="AM20" s="6"/>
      <c r="AN20" s="6"/>
      <c r="AO20" s="6"/>
      <c r="AP20" s="6"/>
      <c r="AQ20" s="6"/>
      <c r="AR20" s="6"/>
      <c r="AS20" s="6"/>
      <c r="AT20" s="6"/>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row>
    <row r="21" spans="1:105" ht="12" customHeight="1" x14ac:dyDescent="0.3">
      <c r="A21" s="46"/>
      <c r="B21" s="114"/>
      <c r="C21" s="115"/>
      <c r="D21" s="115"/>
      <c r="E21" s="115"/>
      <c r="F21" s="115"/>
      <c r="G21" s="115"/>
      <c r="H21" s="115"/>
      <c r="I21" s="36"/>
      <c r="J21" s="116"/>
      <c r="K21" s="116"/>
      <c r="L21" s="36"/>
      <c r="M21" s="116"/>
      <c r="N21" s="116"/>
      <c r="O21" s="36"/>
      <c r="P21" s="116"/>
      <c r="Q21" s="116"/>
      <c r="R21" s="116"/>
      <c r="S21" s="116"/>
      <c r="T21" s="36"/>
      <c r="U21" s="116"/>
      <c r="V21" s="36"/>
      <c r="W21" s="116"/>
      <c r="X21" s="116"/>
      <c r="Y21" s="36"/>
      <c r="Z21" s="116"/>
      <c r="AA21" s="116"/>
      <c r="AB21" s="36"/>
      <c r="AC21" s="116"/>
      <c r="AD21" s="116"/>
      <c r="AE21" s="36"/>
      <c r="AF21" s="116"/>
      <c r="AG21" s="116"/>
      <c r="AH21" s="36"/>
      <c r="AI21" s="116"/>
      <c r="AJ21" s="116"/>
      <c r="AK21" s="37"/>
      <c r="AL21" s="13"/>
      <c r="AM21" s="6"/>
      <c r="AN21" s="6"/>
      <c r="AO21" s="6"/>
      <c r="AP21" s="6"/>
      <c r="AQ21" s="6"/>
      <c r="AR21" s="6"/>
      <c r="AS21" s="6"/>
      <c r="AT21" s="6"/>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row>
    <row r="22" spans="1:105" ht="12" customHeight="1" x14ac:dyDescent="0.3">
      <c r="A22" s="46">
        <v>4</v>
      </c>
      <c r="B22" s="114"/>
      <c r="C22" s="115"/>
      <c r="D22" s="208" t="s">
        <v>260</v>
      </c>
      <c r="E22" s="209"/>
      <c r="F22" s="209"/>
      <c r="G22" s="209"/>
      <c r="H22" s="209"/>
      <c r="I22" s="36"/>
      <c r="J22" s="116"/>
      <c r="K22" s="165" t="s">
        <v>261</v>
      </c>
      <c r="L22" s="36"/>
      <c r="M22" s="116"/>
      <c r="N22" s="165" t="s">
        <v>22</v>
      </c>
      <c r="O22" s="36"/>
      <c r="P22" s="116"/>
      <c r="Q22" s="165" t="s">
        <v>262</v>
      </c>
      <c r="R22" s="116"/>
      <c r="S22" s="116"/>
      <c r="T22" s="36"/>
      <c r="U22" s="116"/>
      <c r="V22" s="36"/>
      <c r="W22" s="116"/>
      <c r="X22" s="165" t="s">
        <v>22</v>
      </c>
      <c r="Y22" s="36"/>
      <c r="Z22" s="116"/>
      <c r="AA22" s="165" t="s">
        <v>263</v>
      </c>
      <c r="AB22" s="36"/>
      <c r="AC22" s="116"/>
      <c r="AD22" s="10">
        <v>331700000</v>
      </c>
      <c r="AE22" s="36"/>
      <c r="AF22" s="116"/>
      <c r="AG22" s="166" t="s">
        <v>265</v>
      </c>
      <c r="AH22" s="36"/>
      <c r="AI22" s="116"/>
      <c r="AJ22" s="116"/>
      <c r="AK22" s="37"/>
      <c r="AL22" s="13"/>
      <c r="AM22" s="6"/>
      <c r="AN22" s="6"/>
      <c r="AO22" s="6"/>
      <c r="AP22" s="6"/>
      <c r="AQ22" s="6"/>
      <c r="AR22" s="6"/>
      <c r="AS22" s="6"/>
      <c r="AT22" s="6"/>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row>
    <row r="23" spans="1:105" ht="12" customHeight="1" x14ac:dyDescent="0.3">
      <c r="A23" s="46"/>
      <c r="B23" s="114"/>
      <c r="C23" s="115"/>
      <c r="D23" s="209"/>
      <c r="E23" s="209"/>
      <c r="F23" s="209"/>
      <c r="G23" s="209"/>
      <c r="H23" s="209"/>
      <c r="I23" s="36"/>
      <c r="J23" s="116"/>
      <c r="K23" s="116"/>
      <c r="L23" s="36"/>
      <c r="M23" s="116"/>
      <c r="N23" s="116"/>
      <c r="O23" s="36"/>
      <c r="P23" s="116"/>
      <c r="Q23" s="116"/>
      <c r="R23" s="116"/>
      <c r="S23" s="116"/>
      <c r="T23" s="36"/>
      <c r="U23" s="116"/>
      <c r="V23" s="36"/>
      <c r="W23" s="116"/>
      <c r="X23" s="116"/>
      <c r="Y23" s="36"/>
      <c r="Z23" s="116"/>
      <c r="AA23" s="166" t="s">
        <v>264</v>
      </c>
      <c r="AB23" s="36"/>
      <c r="AC23" s="116"/>
      <c r="AD23" s="116"/>
      <c r="AE23" s="36"/>
      <c r="AF23" s="116"/>
      <c r="AG23" s="116"/>
      <c r="AH23" s="36"/>
      <c r="AI23" s="116"/>
      <c r="AJ23" s="116"/>
      <c r="AK23" s="37"/>
      <c r="AL23" s="13"/>
      <c r="AM23" s="6"/>
      <c r="AN23" s="6"/>
      <c r="AO23" s="6"/>
      <c r="AP23" s="6"/>
      <c r="AQ23" s="6"/>
      <c r="AR23" s="6"/>
      <c r="AS23" s="6"/>
      <c r="AT23" s="6"/>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row>
    <row r="24" spans="1:105" ht="12" customHeight="1" x14ac:dyDescent="0.3">
      <c r="A24" s="46"/>
      <c r="B24" s="114"/>
      <c r="C24" s="115"/>
      <c r="D24" s="210"/>
      <c r="E24" s="210"/>
      <c r="F24" s="210"/>
      <c r="G24" s="210"/>
      <c r="H24" s="210"/>
      <c r="I24" s="36"/>
      <c r="J24" s="116"/>
      <c r="K24" s="116"/>
      <c r="L24" s="36"/>
      <c r="M24" s="116"/>
      <c r="N24" s="116"/>
      <c r="O24" s="36"/>
      <c r="P24" s="116"/>
      <c r="Q24" s="116"/>
      <c r="R24" s="116"/>
      <c r="S24" s="116"/>
      <c r="T24" s="36"/>
      <c r="U24" s="116"/>
      <c r="V24" s="36"/>
      <c r="W24" s="116"/>
      <c r="X24" s="116"/>
      <c r="Y24" s="36"/>
      <c r="Z24" s="116"/>
      <c r="AA24" s="116"/>
      <c r="AB24" s="36"/>
      <c r="AC24" s="116"/>
      <c r="AD24" s="116"/>
      <c r="AE24" s="36"/>
      <c r="AF24" s="116"/>
      <c r="AG24" s="116"/>
      <c r="AH24" s="36"/>
      <c r="AI24" s="116"/>
      <c r="AJ24" s="116"/>
      <c r="AK24" s="37"/>
      <c r="AL24" s="13"/>
      <c r="AM24" s="6"/>
      <c r="AN24" s="6"/>
      <c r="AO24" s="6"/>
      <c r="AP24" s="6"/>
      <c r="AQ24" s="6"/>
      <c r="AR24" s="6"/>
      <c r="AS24" s="6"/>
      <c r="AT24" s="6"/>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row>
    <row r="25" spans="1:105" ht="12" customHeight="1" x14ac:dyDescent="0.3">
      <c r="A25" s="46"/>
      <c r="B25" s="114"/>
      <c r="C25" s="115"/>
      <c r="D25" s="115"/>
      <c r="E25" s="115"/>
      <c r="F25" s="115"/>
      <c r="G25" s="115"/>
      <c r="H25" s="115"/>
      <c r="I25" s="36"/>
      <c r="J25" s="116"/>
      <c r="K25" s="116"/>
      <c r="L25" s="36"/>
      <c r="M25" s="116"/>
      <c r="N25" s="116"/>
      <c r="O25" s="36"/>
      <c r="P25" s="116"/>
      <c r="Q25" s="116"/>
      <c r="R25" s="116"/>
      <c r="S25" s="116"/>
      <c r="T25" s="36"/>
      <c r="U25" s="116"/>
      <c r="V25" s="36"/>
      <c r="W25" s="116"/>
      <c r="X25" s="116"/>
      <c r="Y25" s="36"/>
      <c r="Z25" s="116"/>
      <c r="AA25" s="116"/>
      <c r="AB25" s="36"/>
      <c r="AC25" s="116"/>
      <c r="AD25" s="116"/>
      <c r="AE25" s="36"/>
      <c r="AF25" s="116"/>
      <c r="AG25" s="116"/>
      <c r="AH25" s="36"/>
      <c r="AI25" s="116"/>
      <c r="AJ25" s="116"/>
      <c r="AK25" s="37"/>
      <c r="AL25" s="13"/>
      <c r="AM25" s="6"/>
      <c r="AN25" s="6"/>
      <c r="AO25" s="6"/>
      <c r="AP25" s="6"/>
      <c r="AQ25" s="6"/>
      <c r="AR25" s="6"/>
      <c r="AS25" s="6"/>
      <c r="AT25" s="6"/>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row>
    <row r="26" spans="1:105" ht="12" customHeight="1" x14ac:dyDescent="0.3">
      <c r="A26" s="46">
        <v>5</v>
      </c>
      <c r="B26" s="114"/>
      <c r="C26" s="115"/>
      <c r="D26" s="211" t="s">
        <v>280</v>
      </c>
      <c r="E26" s="211"/>
      <c r="F26" s="211"/>
      <c r="G26" s="211"/>
      <c r="H26" s="211"/>
      <c r="I26" s="36"/>
      <c r="J26" s="116"/>
      <c r="K26" s="165" t="s">
        <v>127</v>
      </c>
      <c r="L26" s="36"/>
      <c r="M26" s="116"/>
      <c r="N26" s="165" t="s">
        <v>279</v>
      </c>
      <c r="O26" s="36"/>
      <c r="P26" s="116"/>
      <c r="Q26" s="220" t="s">
        <v>281</v>
      </c>
      <c r="R26" s="221"/>
      <c r="S26" s="221"/>
      <c r="T26" s="36"/>
      <c r="U26" s="116"/>
      <c r="V26" s="36"/>
      <c r="W26" s="116"/>
      <c r="X26" s="165" t="s">
        <v>22</v>
      </c>
      <c r="Y26" s="36"/>
      <c r="Z26" s="116"/>
      <c r="AA26" s="175" t="s">
        <v>282</v>
      </c>
      <c r="AB26" s="36"/>
      <c r="AC26" s="116"/>
      <c r="AD26" s="10">
        <v>3188864000</v>
      </c>
      <c r="AE26" s="36"/>
      <c r="AF26" s="116"/>
      <c r="AG26" s="165" t="s">
        <v>284</v>
      </c>
      <c r="AH26" s="36"/>
      <c r="AI26" s="116"/>
      <c r="AJ26" s="116"/>
      <c r="AK26" s="37"/>
      <c r="AL26" s="13"/>
      <c r="AM26" s="6"/>
      <c r="AN26" s="6"/>
      <c r="AO26" s="6"/>
      <c r="AP26" s="6"/>
      <c r="AQ26" s="6"/>
      <c r="AR26" s="6"/>
      <c r="AS26" s="6"/>
      <c r="AT26" s="6"/>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row>
    <row r="27" spans="1:105" ht="12" customHeight="1" x14ac:dyDescent="0.3">
      <c r="A27" s="113"/>
      <c r="B27" s="114"/>
      <c r="C27" s="115"/>
      <c r="D27" s="211"/>
      <c r="E27" s="211"/>
      <c r="F27" s="211"/>
      <c r="G27" s="211"/>
      <c r="H27" s="211"/>
      <c r="I27" s="36"/>
      <c r="J27" s="116"/>
      <c r="K27" s="116"/>
      <c r="L27" s="36"/>
      <c r="M27" s="116"/>
      <c r="N27" s="116"/>
      <c r="O27" s="36"/>
      <c r="P27" s="116"/>
      <c r="Q27" s="221"/>
      <c r="R27" s="221"/>
      <c r="S27" s="221"/>
      <c r="T27" s="36"/>
      <c r="U27" s="116"/>
      <c r="V27" s="36"/>
      <c r="W27" s="116"/>
      <c r="X27" s="116"/>
      <c r="Y27" s="36"/>
      <c r="Z27" s="116"/>
      <c r="AA27" s="166" t="s">
        <v>283</v>
      </c>
      <c r="AB27" s="36"/>
      <c r="AC27" s="116"/>
      <c r="AD27" s="116"/>
      <c r="AE27" s="36"/>
      <c r="AF27" s="116"/>
      <c r="AG27" s="116"/>
      <c r="AH27" s="36"/>
      <c r="AI27" s="116"/>
      <c r="AJ27" s="116"/>
      <c r="AK27" s="37"/>
      <c r="AL27" s="13"/>
      <c r="AM27" s="6"/>
      <c r="AN27" s="6"/>
      <c r="AO27" s="6"/>
      <c r="AP27" s="6"/>
      <c r="AQ27" s="6"/>
      <c r="AR27" s="6"/>
      <c r="AS27" s="6"/>
      <c r="AT27" s="6"/>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row>
    <row r="28" spans="1:105" ht="12" customHeight="1" x14ac:dyDescent="0.3">
      <c r="A28" s="113"/>
      <c r="B28" s="114"/>
      <c r="C28" s="115"/>
      <c r="D28" s="115"/>
      <c r="E28" s="115"/>
      <c r="F28" s="115"/>
      <c r="G28" s="115"/>
      <c r="H28" s="115"/>
      <c r="I28" s="36"/>
      <c r="J28" s="116"/>
      <c r="K28" s="116"/>
      <c r="L28" s="36"/>
      <c r="M28" s="116"/>
      <c r="N28" s="116"/>
      <c r="O28" s="36"/>
      <c r="P28" s="116"/>
      <c r="Q28" s="116"/>
      <c r="R28" s="116"/>
      <c r="S28" s="116"/>
      <c r="T28" s="36"/>
      <c r="U28" s="116"/>
      <c r="V28" s="36"/>
      <c r="W28" s="116"/>
      <c r="X28" s="116"/>
      <c r="Y28" s="36"/>
      <c r="Z28" s="116"/>
      <c r="AA28" s="116"/>
      <c r="AB28" s="36"/>
      <c r="AC28" s="116"/>
      <c r="AD28" s="116"/>
      <c r="AE28" s="36"/>
      <c r="AF28" s="116"/>
      <c r="AG28" s="116"/>
      <c r="AH28" s="36"/>
      <c r="AI28" s="116"/>
      <c r="AJ28" s="116"/>
      <c r="AK28" s="37"/>
      <c r="AL28" s="13"/>
      <c r="AM28" s="6"/>
      <c r="AN28" s="6"/>
      <c r="AO28" s="6"/>
      <c r="AP28" s="6"/>
      <c r="AQ28" s="6"/>
      <c r="AR28" s="6"/>
      <c r="AS28" s="6"/>
      <c r="AT28" s="6"/>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row>
    <row r="29" spans="1:105" ht="12" customHeight="1" x14ac:dyDescent="0.3">
      <c r="A29" s="113"/>
      <c r="B29" s="114"/>
      <c r="C29" s="115"/>
      <c r="D29" s="115"/>
      <c r="E29" s="115"/>
      <c r="F29" s="115"/>
      <c r="G29" s="115"/>
      <c r="H29" s="115"/>
      <c r="I29" s="36"/>
      <c r="J29" s="116"/>
      <c r="K29" s="116"/>
      <c r="L29" s="36"/>
      <c r="M29" s="116"/>
      <c r="N29" s="116"/>
      <c r="O29" s="36"/>
      <c r="P29" s="116"/>
      <c r="Q29" s="116"/>
      <c r="R29" s="116"/>
      <c r="S29" s="116"/>
      <c r="T29" s="36"/>
      <c r="U29" s="116"/>
      <c r="V29" s="36"/>
      <c r="W29" s="116"/>
      <c r="X29" s="116"/>
      <c r="Y29" s="36"/>
      <c r="Z29" s="116"/>
      <c r="AA29" s="116"/>
      <c r="AB29" s="36"/>
      <c r="AC29" s="116"/>
      <c r="AD29" s="116"/>
      <c r="AE29" s="36"/>
      <c r="AF29" s="116"/>
      <c r="AG29" s="116"/>
      <c r="AH29" s="36"/>
      <c r="AI29" s="116"/>
      <c r="AJ29" s="116"/>
      <c r="AK29" s="37"/>
      <c r="AL29" s="13"/>
      <c r="AM29" s="6"/>
      <c r="AN29" s="6"/>
      <c r="AO29" s="6"/>
      <c r="AP29" s="6"/>
      <c r="AQ29" s="6"/>
      <c r="AR29" s="6"/>
      <c r="AS29" s="6"/>
      <c r="AT29" s="6"/>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row>
    <row r="30" spans="1:105" ht="12" customHeight="1" x14ac:dyDescent="0.3">
      <c r="A30" s="46">
        <v>6</v>
      </c>
      <c r="B30" s="114"/>
      <c r="C30" s="115"/>
      <c r="D30" s="208" t="s">
        <v>121</v>
      </c>
      <c r="E30" s="209"/>
      <c r="F30" s="209"/>
      <c r="G30" s="209"/>
      <c r="H30" s="209"/>
      <c r="I30" s="36"/>
      <c r="J30" s="55"/>
      <c r="K30" s="116" t="s">
        <v>100</v>
      </c>
      <c r="L30" s="36"/>
      <c r="M30" s="55"/>
      <c r="N30" s="116" t="s">
        <v>23</v>
      </c>
      <c r="O30" s="36"/>
      <c r="P30" s="55"/>
      <c r="Q30" s="211" t="s">
        <v>122</v>
      </c>
      <c r="R30" s="211"/>
      <c r="S30" s="211"/>
      <c r="T30" s="36"/>
      <c r="U30" s="55"/>
      <c r="V30" s="36"/>
      <c r="W30" s="55"/>
      <c r="X30" s="116" t="s">
        <v>33</v>
      </c>
      <c r="Y30" s="36"/>
      <c r="Z30" s="55"/>
      <c r="AA30" s="116" t="s">
        <v>123</v>
      </c>
      <c r="AB30" s="36"/>
      <c r="AC30" s="55"/>
      <c r="AD30" s="10">
        <v>7275418965</v>
      </c>
      <c r="AE30" s="36"/>
      <c r="AF30" s="55"/>
      <c r="AG30" s="117" t="s">
        <v>125</v>
      </c>
      <c r="AH30" s="36"/>
      <c r="AI30" s="55"/>
      <c r="AJ30" s="55"/>
      <c r="AK30" s="37"/>
      <c r="AL30" s="13"/>
      <c r="AM30" s="6"/>
      <c r="AN30" s="6"/>
      <c r="AO30" s="6"/>
      <c r="AP30" s="6"/>
      <c r="AQ30" s="6"/>
      <c r="AR30" s="6"/>
      <c r="AS30" s="6"/>
      <c r="AT30" s="6"/>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row>
    <row r="31" spans="1:105" ht="12" customHeight="1" x14ac:dyDescent="0.3">
      <c r="A31" s="46"/>
      <c r="B31" s="114"/>
      <c r="C31" s="115"/>
      <c r="D31" s="209"/>
      <c r="E31" s="209"/>
      <c r="F31" s="209"/>
      <c r="G31" s="209"/>
      <c r="H31" s="209"/>
      <c r="I31" s="36"/>
      <c r="J31" s="55"/>
      <c r="K31" s="55"/>
      <c r="L31" s="36"/>
      <c r="M31" s="55"/>
      <c r="N31" s="55"/>
      <c r="O31" s="36"/>
      <c r="P31" s="55"/>
      <c r="Q31" s="211"/>
      <c r="R31" s="211"/>
      <c r="S31" s="211"/>
      <c r="T31" s="36"/>
      <c r="U31" s="55"/>
      <c r="V31" s="36"/>
      <c r="W31" s="55"/>
      <c r="X31" s="55"/>
      <c r="Y31" s="36"/>
      <c r="Z31" s="55"/>
      <c r="AA31" s="117" t="s">
        <v>124</v>
      </c>
      <c r="AB31" s="36"/>
      <c r="AC31" s="55"/>
      <c r="AD31" s="55"/>
      <c r="AE31" s="36"/>
      <c r="AF31" s="55"/>
      <c r="AG31" s="55"/>
      <c r="AH31" s="36"/>
      <c r="AI31" s="55"/>
      <c r="AJ31" s="55"/>
      <c r="AK31" s="37"/>
      <c r="AL31" s="13"/>
      <c r="AM31" s="6"/>
      <c r="AN31" s="6"/>
      <c r="AO31" s="6"/>
      <c r="AP31" s="6"/>
      <c r="AQ31" s="6"/>
      <c r="AR31" s="6"/>
      <c r="AS31" s="6"/>
      <c r="AT31" s="6"/>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row>
    <row r="32" spans="1:105" ht="12" customHeight="1" x14ac:dyDescent="0.3">
      <c r="A32" s="46"/>
      <c r="B32" s="114"/>
      <c r="C32" s="115"/>
      <c r="D32" s="210"/>
      <c r="E32" s="210"/>
      <c r="F32" s="210"/>
      <c r="G32" s="210"/>
      <c r="H32" s="210"/>
      <c r="I32" s="36"/>
      <c r="J32" s="55"/>
      <c r="K32" s="55"/>
      <c r="L32" s="36"/>
      <c r="M32" s="55"/>
      <c r="N32" s="55"/>
      <c r="O32" s="36"/>
      <c r="P32" s="55"/>
      <c r="Q32" s="211"/>
      <c r="R32" s="211"/>
      <c r="S32" s="211"/>
      <c r="T32" s="36"/>
      <c r="U32" s="55"/>
      <c r="V32" s="36"/>
      <c r="W32" s="55"/>
      <c r="X32" s="55"/>
      <c r="Y32" s="36"/>
      <c r="Z32" s="55"/>
      <c r="AA32" s="55"/>
      <c r="AB32" s="36"/>
      <c r="AC32" s="55"/>
      <c r="AD32" s="55"/>
      <c r="AE32" s="36"/>
      <c r="AF32" s="55"/>
      <c r="AG32" s="55"/>
      <c r="AH32" s="36"/>
      <c r="AI32" s="55"/>
      <c r="AJ32" s="55"/>
      <c r="AK32" s="37"/>
      <c r="AL32" s="13"/>
      <c r="AM32" s="6"/>
      <c r="AN32" s="6"/>
      <c r="AO32" s="6"/>
      <c r="AP32" s="6"/>
      <c r="AQ32" s="6"/>
      <c r="AR32" s="6"/>
      <c r="AS32" s="6"/>
      <c r="AT32" s="6"/>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row>
    <row r="33" spans="1:105" ht="12" customHeight="1" x14ac:dyDescent="0.3">
      <c r="A33" s="46"/>
      <c r="B33" s="114"/>
      <c r="C33" s="115"/>
      <c r="D33" s="210"/>
      <c r="E33" s="210"/>
      <c r="F33" s="210"/>
      <c r="G33" s="210"/>
      <c r="H33" s="210"/>
      <c r="I33" s="36"/>
      <c r="J33" s="55"/>
      <c r="K33" s="55"/>
      <c r="L33" s="36"/>
      <c r="M33" s="55"/>
      <c r="N33" s="55"/>
      <c r="O33" s="36"/>
      <c r="P33" s="55"/>
      <c r="Q33" s="55"/>
      <c r="R33" s="55"/>
      <c r="S33" s="55"/>
      <c r="T33" s="36"/>
      <c r="U33" s="55"/>
      <c r="V33" s="36"/>
      <c r="W33" s="55"/>
      <c r="X33" s="55"/>
      <c r="Y33" s="36"/>
      <c r="Z33" s="55"/>
      <c r="AA33" s="55"/>
      <c r="AB33" s="36"/>
      <c r="AC33" s="55"/>
      <c r="AD33" s="55"/>
      <c r="AE33" s="36"/>
      <c r="AF33" s="55"/>
      <c r="AG33" s="55"/>
      <c r="AH33" s="36"/>
      <c r="AI33" s="55"/>
      <c r="AJ33" s="55"/>
      <c r="AK33" s="37"/>
      <c r="AL33" s="13"/>
      <c r="AM33" s="6"/>
      <c r="AN33" s="6"/>
      <c r="AO33" s="6"/>
      <c r="AP33" s="6"/>
      <c r="AQ33" s="6"/>
      <c r="AR33" s="6"/>
      <c r="AS33" s="6"/>
      <c r="AT33" s="6"/>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row>
    <row r="34" spans="1:105" ht="12" customHeight="1" x14ac:dyDescent="0.3">
      <c r="A34" s="46"/>
      <c r="B34" s="114"/>
      <c r="C34" s="115"/>
      <c r="D34" s="115"/>
      <c r="E34" s="115"/>
      <c r="F34" s="115"/>
      <c r="G34" s="115"/>
      <c r="H34" s="115"/>
      <c r="I34" s="36"/>
      <c r="J34" s="55"/>
      <c r="K34" s="55"/>
      <c r="L34" s="36"/>
      <c r="M34" s="55"/>
      <c r="N34" s="55"/>
      <c r="O34" s="36"/>
      <c r="P34" s="55"/>
      <c r="Q34" s="55"/>
      <c r="R34" s="55"/>
      <c r="S34" s="55"/>
      <c r="T34" s="36"/>
      <c r="U34" s="55"/>
      <c r="V34" s="36"/>
      <c r="W34" s="55"/>
      <c r="X34" s="55"/>
      <c r="Y34" s="36"/>
      <c r="Z34" s="55"/>
      <c r="AA34" s="55"/>
      <c r="AB34" s="36"/>
      <c r="AC34" s="55"/>
      <c r="AD34" s="55"/>
      <c r="AE34" s="36"/>
      <c r="AF34" s="55"/>
      <c r="AG34" s="55"/>
      <c r="AH34" s="36"/>
      <c r="AI34" s="55"/>
      <c r="AJ34" s="55"/>
      <c r="AK34" s="37"/>
      <c r="AL34" s="13"/>
      <c r="AM34" s="6"/>
      <c r="AN34" s="6"/>
      <c r="AO34" s="6"/>
      <c r="AP34" s="6"/>
      <c r="AQ34" s="6"/>
      <c r="AR34" s="6"/>
      <c r="AS34" s="6"/>
      <c r="AT34" s="6"/>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row>
    <row r="35" spans="1:105" ht="12" customHeight="1" x14ac:dyDescent="0.3">
      <c r="A35" s="46">
        <v>7</v>
      </c>
      <c r="B35" s="114"/>
      <c r="C35" s="115"/>
      <c r="D35" s="230" t="s">
        <v>126</v>
      </c>
      <c r="E35" s="209"/>
      <c r="F35" s="209"/>
      <c r="G35" s="209"/>
      <c r="H35" s="209"/>
      <c r="I35" s="36"/>
      <c r="J35" s="55"/>
      <c r="K35" s="116" t="s">
        <v>127</v>
      </c>
      <c r="L35" s="36"/>
      <c r="M35" s="55"/>
      <c r="N35" s="116" t="s">
        <v>128</v>
      </c>
      <c r="O35" s="36"/>
      <c r="P35" s="55"/>
      <c r="Q35" s="116" t="s">
        <v>129</v>
      </c>
      <c r="R35" s="55"/>
      <c r="S35" s="55"/>
      <c r="T35" s="36"/>
      <c r="U35" s="55"/>
      <c r="V35" s="36"/>
      <c r="W35" s="55"/>
      <c r="X35" s="116" t="s">
        <v>22</v>
      </c>
      <c r="Y35" s="36"/>
      <c r="Z35" s="55"/>
      <c r="AA35" s="116" t="s">
        <v>130</v>
      </c>
      <c r="AB35" s="36"/>
      <c r="AC35" s="55"/>
      <c r="AD35" s="10">
        <v>4500000000</v>
      </c>
      <c r="AE35" s="36"/>
      <c r="AF35" s="55"/>
      <c r="AG35" s="117" t="s">
        <v>132</v>
      </c>
      <c r="AH35" s="36"/>
      <c r="AI35" s="55"/>
      <c r="AJ35" s="55"/>
      <c r="AK35" s="37"/>
      <c r="AL35" s="13"/>
      <c r="AM35" s="6"/>
      <c r="AN35" s="6"/>
      <c r="AO35" s="6"/>
      <c r="AP35" s="6"/>
      <c r="AQ35" s="6"/>
      <c r="AR35" s="6"/>
      <c r="AS35" s="6"/>
      <c r="AT35" s="6"/>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row>
    <row r="36" spans="1:105" ht="12" customHeight="1" x14ac:dyDescent="0.3">
      <c r="A36" s="46"/>
      <c r="B36" s="114"/>
      <c r="C36" s="115"/>
      <c r="D36" s="209"/>
      <c r="E36" s="209"/>
      <c r="F36" s="209"/>
      <c r="G36" s="209"/>
      <c r="H36" s="209"/>
      <c r="I36" s="36"/>
      <c r="J36" s="55"/>
      <c r="K36" s="55"/>
      <c r="L36" s="36"/>
      <c r="M36" s="55"/>
      <c r="N36" s="55"/>
      <c r="O36" s="36"/>
      <c r="P36" s="55"/>
      <c r="Q36" s="55"/>
      <c r="R36" s="55"/>
      <c r="S36" s="55"/>
      <c r="T36" s="36"/>
      <c r="U36" s="55"/>
      <c r="V36" s="36"/>
      <c r="W36" s="55"/>
      <c r="X36" s="55"/>
      <c r="Y36" s="36"/>
      <c r="Z36" s="55"/>
      <c r="AA36" s="117" t="s">
        <v>131</v>
      </c>
      <c r="AB36" s="36"/>
      <c r="AC36" s="55"/>
      <c r="AD36" s="55"/>
      <c r="AE36" s="36"/>
      <c r="AF36" s="55"/>
      <c r="AG36" s="55"/>
      <c r="AH36" s="36"/>
      <c r="AI36" s="55"/>
      <c r="AJ36" s="55"/>
      <c r="AK36" s="37"/>
      <c r="AL36" s="13"/>
      <c r="AM36" s="6"/>
      <c r="AN36" s="6"/>
      <c r="AO36" s="6"/>
      <c r="AP36" s="6"/>
      <c r="AQ36" s="6"/>
      <c r="AR36" s="6"/>
      <c r="AS36" s="6"/>
      <c r="AT36" s="6"/>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row>
    <row r="37" spans="1:105" ht="12" customHeight="1" x14ac:dyDescent="0.3">
      <c r="A37" s="46"/>
      <c r="B37" s="114"/>
      <c r="C37" s="115"/>
      <c r="D37" s="231"/>
      <c r="E37" s="231"/>
      <c r="F37" s="231"/>
      <c r="G37" s="231"/>
      <c r="H37" s="231"/>
      <c r="I37" s="36"/>
      <c r="J37" s="55"/>
      <c r="K37" s="55"/>
      <c r="L37" s="36"/>
      <c r="M37" s="55"/>
      <c r="N37" s="55"/>
      <c r="O37" s="36"/>
      <c r="P37" s="55"/>
      <c r="Q37" s="55"/>
      <c r="R37" s="55"/>
      <c r="S37" s="55"/>
      <c r="T37" s="36"/>
      <c r="U37" s="55"/>
      <c r="V37" s="36"/>
      <c r="W37" s="55"/>
      <c r="X37" s="55"/>
      <c r="Y37" s="36"/>
      <c r="Z37" s="55"/>
      <c r="AA37" s="55"/>
      <c r="AB37" s="36"/>
      <c r="AC37" s="55"/>
      <c r="AD37" s="55"/>
      <c r="AE37" s="36"/>
      <c r="AF37" s="55"/>
      <c r="AG37" s="55"/>
      <c r="AH37" s="36"/>
      <c r="AI37" s="55"/>
      <c r="AJ37" s="55"/>
      <c r="AK37" s="37"/>
      <c r="AL37" s="13"/>
      <c r="AM37" s="6"/>
      <c r="AN37" s="6"/>
      <c r="AO37" s="6"/>
      <c r="AP37" s="6"/>
      <c r="AQ37" s="6"/>
      <c r="AR37" s="6"/>
      <c r="AS37" s="6"/>
      <c r="AT37" s="6"/>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row>
    <row r="38" spans="1:105" ht="12" customHeight="1" x14ac:dyDescent="0.3">
      <c r="A38" s="46"/>
      <c r="B38" s="114"/>
      <c r="C38" s="115"/>
      <c r="D38" s="231"/>
      <c r="E38" s="231"/>
      <c r="F38" s="231"/>
      <c r="G38" s="231"/>
      <c r="H38" s="231"/>
      <c r="I38" s="36"/>
      <c r="J38" s="55"/>
      <c r="K38" s="55"/>
      <c r="L38" s="36"/>
      <c r="M38" s="55"/>
      <c r="N38" s="55"/>
      <c r="O38" s="36"/>
      <c r="P38" s="55"/>
      <c r="Q38" s="55"/>
      <c r="R38" s="55"/>
      <c r="S38" s="55"/>
      <c r="T38" s="36"/>
      <c r="U38" s="55"/>
      <c r="V38" s="36"/>
      <c r="W38" s="55"/>
      <c r="X38" s="55"/>
      <c r="Y38" s="36"/>
      <c r="Z38" s="55"/>
      <c r="AA38" s="55"/>
      <c r="AB38" s="36"/>
      <c r="AC38" s="55"/>
      <c r="AD38" s="55"/>
      <c r="AE38" s="36"/>
      <c r="AF38" s="55"/>
      <c r="AG38" s="55"/>
      <c r="AH38" s="36"/>
      <c r="AI38" s="55"/>
      <c r="AJ38" s="55"/>
      <c r="AK38" s="37"/>
      <c r="AL38" s="13"/>
      <c r="AM38" s="6"/>
      <c r="AN38" s="6"/>
      <c r="AO38" s="6"/>
      <c r="AP38" s="6"/>
      <c r="AQ38" s="6"/>
      <c r="AR38" s="6"/>
      <c r="AS38" s="6"/>
      <c r="AT38" s="6"/>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row>
    <row r="39" spans="1:105" ht="12" customHeight="1" x14ac:dyDescent="0.3">
      <c r="A39" s="46"/>
      <c r="B39" s="114"/>
      <c r="C39" s="115"/>
      <c r="D39" s="231"/>
      <c r="E39" s="231"/>
      <c r="F39" s="231"/>
      <c r="G39" s="231"/>
      <c r="H39" s="231"/>
      <c r="I39" s="36"/>
      <c r="J39" s="55"/>
      <c r="K39" s="55"/>
      <c r="L39" s="36"/>
      <c r="M39" s="55"/>
      <c r="N39" s="55"/>
      <c r="O39" s="36"/>
      <c r="P39" s="55"/>
      <c r="Q39" s="55"/>
      <c r="R39" s="55"/>
      <c r="S39" s="55"/>
      <c r="T39" s="36"/>
      <c r="U39" s="55"/>
      <c r="V39" s="36"/>
      <c r="W39" s="55"/>
      <c r="X39" s="55"/>
      <c r="Y39" s="36"/>
      <c r="Z39" s="55"/>
      <c r="AA39" s="55"/>
      <c r="AB39" s="36"/>
      <c r="AC39" s="55"/>
      <c r="AD39" s="55"/>
      <c r="AE39" s="36"/>
      <c r="AF39" s="55"/>
      <c r="AG39" s="55"/>
      <c r="AH39" s="36"/>
      <c r="AI39" s="55"/>
      <c r="AJ39" s="55"/>
      <c r="AK39" s="37"/>
      <c r="AL39" s="13"/>
      <c r="AM39" s="6"/>
      <c r="AN39" s="6"/>
      <c r="AO39" s="6"/>
      <c r="AP39" s="6"/>
      <c r="AQ39" s="6"/>
      <c r="AR39" s="6"/>
      <c r="AS39" s="6"/>
      <c r="AT39" s="6"/>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row>
    <row r="40" spans="1:105" ht="12" customHeight="1" x14ac:dyDescent="0.3">
      <c r="A40" s="46"/>
      <c r="B40" s="114"/>
      <c r="C40" s="115"/>
      <c r="D40" s="115"/>
      <c r="E40" s="115"/>
      <c r="F40" s="115"/>
      <c r="G40" s="115"/>
      <c r="H40" s="115"/>
      <c r="I40" s="36"/>
      <c r="J40" s="55"/>
      <c r="K40" s="55"/>
      <c r="L40" s="36"/>
      <c r="M40" s="55"/>
      <c r="N40" s="55"/>
      <c r="O40" s="36"/>
      <c r="P40" s="55"/>
      <c r="Q40" s="55"/>
      <c r="R40" s="55"/>
      <c r="S40" s="55"/>
      <c r="T40" s="36"/>
      <c r="U40" s="55"/>
      <c r="V40" s="36"/>
      <c r="W40" s="55"/>
      <c r="X40" s="55"/>
      <c r="Y40" s="36"/>
      <c r="Z40" s="55"/>
      <c r="AA40" s="55"/>
      <c r="AB40" s="36"/>
      <c r="AC40" s="55"/>
      <c r="AD40" s="55"/>
      <c r="AE40" s="36"/>
      <c r="AF40" s="55"/>
      <c r="AG40" s="55"/>
      <c r="AH40" s="36"/>
      <c r="AI40" s="55"/>
      <c r="AJ40" s="55"/>
      <c r="AK40" s="37"/>
      <c r="AL40" s="13"/>
      <c r="AM40" s="6"/>
      <c r="AN40" s="6"/>
      <c r="AO40" s="6"/>
      <c r="AP40" s="6"/>
      <c r="AQ40" s="6"/>
      <c r="AR40" s="6"/>
      <c r="AS40" s="6"/>
      <c r="AT40" s="6"/>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row>
    <row r="41" spans="1:105" ht="12" customHeight="1" x14ac:dyDescent="0.3">
      <c r="A41" s="46">
        <v>8</v>
      </c>
      <c r="B41" s="114"/>
      <c r="C41" s="115"/>
      <c r="D41" s="208" t="s">
        <v>133</v>
      </c>
      <c r="E41" s="209"/>
      <c r="F41" s="209"/>
      <c r="G41" s="209"/>
      <c r="H41" s="209"/>
      <c r="I41" s="36"/>
      <c r="J41" s="55"/>
      <c r="K41" s="116" t="s">
        <v>100</v>
      </c>
      <c r="L41" s="36"/>
      <c r="M41" s="55"/>
      <c r="N41" s="116" t="s">
        <v>22</v>
      </c>
      <c r="O41" s="36"/>
      <c r="P41" s="55"/>
      <c r="Q41" s="116" t="s">
        <v>134</v>
      </c>
      <c r="R41" s="55"/>
      <c r="S41" s="55"/>
      <c r="T41" s="36"/>
      <c r="U41" s="55"/>
      <c r="V41" s="36"/>
      <c r="W41" s="55"/>
      <c r="X41" s="116" t="s">
        <v>22</v>
      </c>
      <c r="Y41" s="36"/>
      <c r="Z41" s="55"/>
      <c r="AA41" s="116" t="s">
        <v>135</v>
      </c>
      <c r="AB41" s="36"/>
      <c r="AC41" s="55"/>
      <c r="AD41" s="10">
        <v>1652124000</v>
      </c>
      <c r="AE41" s="36"/>
      <c r="AF41" s="55"/>
      <c r="AG41" s="117" t="s">
        <v>137</v>
      </c>
      <c r="AH41" s="36"/>
      <c r="AI41" s="55"/>
      <c r="AJ41" s="55"/>
      <c r="AK41" s="37"/>
      <c r="AL41" s="13"/>
      <c r="AM41" s="6"/>
      <c r="AN41" s="6"/>
      <c r="AO41" s="6"/>
      <c r="AP41" s="6"/>
      <c r="AQ41" s="6"/>
      <c r="AR41" s="6"/>
      <c r="AS41" s="6"/>
      <c r="AT41" s="6"/>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row>
    <row r="42" spans="1:105" ht="12" customHeight="1" x14ac:dyDescent="0.3">
      <c r="A42" s="46"/>
      <c r="B42" s="114"/>
      <c r="C42" s="115"/>
      <c r="D42" s="209"/>
      <c r="E42" s="209"/>
      <c r="F42" s="209"/>
      <c r="G42" s="209"/>
      <c r="H42" s="209"/>
      <c r="I42" s="36"/>
      <c r="J42" s="55"/>
      <c r="K42" s="55"/>
      <c r="L42" s="36"/>
      <c r="M42" s="55"/>
      <c r="N42" s="55"/>
      <c r="O42" s="36"/>
      <c r="P42" s="55"/>
      <c r="Q42" s="55"/>
      <c r="R42" s="55"/>
      <c r="S42" s="55"/>
      <c r="T42" s="36"/>
      <c r="U42" s="55"/>
      <c r="V42" s="36"/>
      <c r="W42" s="55"/>
      <c r="X42" s="55"/>
      <c r="Y42" s="36"/>
      <c r="Z42" s="55"/>
      <c r="AA42" s="117" t="s">
        <v>136</v>
      </c>
      <c r="AB42" s="36"/>
      <c r="AC42" s="55"/>
      <c r="AD42" s="55"/>
      <c r="AE42" s="36"/>
      <c r="AF42" s="55"/>
      <c r="AG42" s="55"/>
      <c r="AH42" s="36"/>
      <c r="AI42" s="55"/>
      <c r="AJ42" s="55"/>
      <c r="AK42" s="37"/>
      <c r="AL42" s="13"/>
      <c r="AM42" s="6"/>
      <c r="AN42" s="6"/>
      <c r="AO42" s="6"/>
      <c r="AP42" s="6"/>
      <c r="AQ42" s="6"/>
      <c r="AR42" s="6"/>
      <c r="AS42" s="6"/>
      <c r="AT42" s="6"/>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row>
    <row r="43" spans="1:105" ht="12" customHeight="1" x14ac:dyDescent="0.3">
      <c r="A43" s="46"/>
      <c r="B43" s="114"/>
      <c r="C43" s="115"/>
      <c r="D43" s="210"/>
      <c r="E43" s="210"/>
      <c r="F43" s="210"/>
      <c r="G43" s="210"/>
      <c r="H43" s="210"/>
      <c r="I43" s="36"/>
      <c r="J43" s="55"/>
      <c r="K43" s="55"/>
      <c r="L43" s="36"/>
      <c r="M43" s="55"/>
      <c r="N43" s="55"/>
      <c r="O43" s="36"/>
      <c r="P43" s="55"/>
      <c r="Q43" s="55"/>
      <c r="R43" s="55"/>
      <c r="S43" s="55"/>
      <c r="T43" s="36"/>
      <c r="U43" s="55"/>
      <c r="V43" s="36"/>
      <c r="W43" s="55"/>
      <c r="X43" s="55"/>
      <c r="Y43" s="36"/>
      <c r="Z43" s="55"/>
      <c r="AA43" s="55"/>
      <c r="AB43" s="36"/>
      <c r="AC43" s="55"/>
      <c r="AD43" s="55"/>
      <c r="AE43" s="36"/>
      <c r="AF43" s="55"/>
      <c r="AG43" s="55"/>
      <c r="AH43" s="36"/>
      <c r="AI43" s="55"/>
      <c r="AJ43" s="55"/>
      <c r="AK43" s="37"/>
      <c r="AL43" s="13"/>
      <c r="AM43" s="6"/>
      <c r="AN43" s="6"/>
      <c r="AO43" s="6"/>
      <c r="AP43" s="6"/>
      <c r="AQ43" s="6"/>
      <c r="AR43" s="6"/>
      <c r="AS43" s="6"/>
      <c r="AT43" s="6"/>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row>
    <row r="44" spans="1:105" ht="12" customHeight="1" x14ac:dyDescent="0.3">
      <c r="A44" s="46"/>
      <c r="B44" s="114"/>
      <c r="C44" s="115"/>
      <c r="D44" s="115"/>
      <c r="E44" s="115"/>
      <c r="F44" s="115"/>
      <c r="G44" s="115"/>
      <c r="H44" s="115"/>
      <c r="I44" s="36"/>
      <c r="J44" s="55"/>
      <c r="K44" s="55"/>
      <c r="L44" s="36"/>
      <c r="M44" s="55"/>
      <c r="N44" s="55"/>
      <c r="O44" s="36"/>
      <c r="P44" s="55"/>
      <c r="Q44" s="55"/>
      <c r="R44" s="55"/>
      <c r="S44" s="55"/>
      <c r="T44" s="36"/>
      <c r="U44" s="55"/>
      <c r="V44" s="36"/>
      <c r="W44" s="55"/>
      <c r="X44" s="55"/>
      <c r="Y44" s="36"/>
      <c r="Z44" s="55"/>
      <c r="AA44" s="55"/>
      <c r="AB44" s="36"/>
      <c r="AC44" s="55"/>
      <c r="AD44" s="55"/>
      <c r="AE44" s="36"/>
      <c r="AF44" s="55"/>
      <c r="AG44" s="55"/>
      <c r="AH44" s="36"/>
      <c r="AI44" s="55"/>
      <c r="AJ44" s="55"/>
      <c r="AK44" s="37"/>
      <c r="AL44" s="13"/>
      <c r="AM44" s="6"/>
      <c r="AN44" s="6"/>
      <c r="AO44" s="6"/>
      <c r="AP44" s="6"/>
      <c r="AQ44" s="6"/>
      <c r="AR44" s="6"/>
      <c r="AS44" s="6"/>
      <c r="AT44" s="6"/>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row>
    <row r="45" spans="1:105" ht="12" customHeight="1" x14ac:dyDescent="0.3">
      <c r="A45" s="46"/>
      <c r="B45" s="114"/>
      <c r="C45" s="115"/>
      <c r="D45" s="115"/>
      <c r="E45" s="115"/>
      <c r="F45" s="115"/>
      <c r="G45" s="115"/>
      <c r="H45" s="115"/>
      <c r="I45" s="36"/>
      <c r="J45" s="116"/>
      <c r="K45" s="116"/>
      <c r="L45" s="36"/>
      <c r="M45" s="116"/>
      <c r="N45" s="116"/>
      <c r="O45" s="36"/>
      <c r="P45" s="116"/>
      <c r="Q45" s="116"/>
      <c r="R45" s="116"/>
      <c r="S45" s="116"/>
      <c r="T45" s="36"/>
      <c r="U45" s="116"/>
      <c r="V45" s="36"/>
      <c r="W45" s="116"/>
      <c r="X45" s="116"/>
      <c r="Y45" s="36"/>
      <c r="Z45" s="116"/>
      <c r="AA45" s="116"/>
      <c r="AB45" s="36"/>
      <c r="AC45" s="116"/>
      <c r="AD45" s="116"/>
      <c r="AE45" s="36"/>
      <c r="AF45" s="116"/>
      <c r="AG45" s="116"/>
      <c r="AH45" s="36"/>
      <c r="AI45" s="116"/>
      <c r="AJ45" s="116"/>
      <c r="AK45" s="37"/>
      <c r="AL45" s="13"/>
      <c r="AM45" s="6"/>
      <c r="AN45" s="6"/>
      <c r="AO45" s="6"/>
      <c r="AP45" s="6"/>
      <c r="AQ45" s="6"/>
      <c r="AR45" s="6"/>
      <c r="AS45" s="6"/>
      <c r="AT45" s="6"/>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row>
    <row r="46" spans="1:105" ht="12" customHeight="1" x14ac:dyDescent="0.3">
      <c r="A46" s="46">
        <v>9</v>
      </c>
      <c r="B46" s="114"/>
      <c r="C46" s="115"/>
      <c r="D46" s="208" t="s">
        <v>138</v>
      </c>
      <c r="E46" s="209"/>
      <c r="F46" s="209"/>
      <c r="G46" s="209"/>
      <c r="H46" s="209"/>
      <c r="I46" s="36"/>
      <c r="J46" s="55"/>
      <c r="K46" s="116" t="s">
        <v>20</v>
      </c>
      <c r="L46" s="36"/>
      <c r="M46" s="55"/>
      <c r="N46" s="116" t="s">
        <v>26</v>
      </c>
      <c r="O46" s="36"/>
      <c r="P46" s="55"/>
      <c r="Q46" s="116" t="s">
        <v>139</v>
      </c>
      <c r="R46" s="55"/>
      <c r="S46" s="55"/>
      <c r="T46" s="36"/>
      <c r="U46" s="55"/>
      <c r="V46" s="36"/>
      <c r="W46" s="55"/>
      <c r="X46" s="116" t="s">
        <v>140</v>
      </c>
      <c r="Y46" s="36"/>
      <c r="Z46" s="55"/>
      <c r="AA46" s="116" t="s">
        <v>141</v>
      </c>
      <c r="AB46" s="36"/>
      <c r="AC46" s="55"/>
      <c r="AD46" s="10">
        <v>7000000000</v>
      </c>
      <c r="AE46" s="36"/>
      <c r="AF46" s="55"/>
      <c r="AG46" s="117" t="s">
        <v>143</v>
      </c>
      <c r="AH46" s="36"/>
      <c r="AI46" s="55"/>
      <c r="AJ46" s="55"/>
      <c r="AK46" s="37"/>
      <c r="AL46" s="13"/>
      <c r="AM46" s="6"/>
      <c r="AN46" s="6"/>
      <c r="AO46" s="6"/>
      <c r="AP46" s="6"/>
      <c r="AQ46" s="6"/>
      <c r="AR46" s="6"/>
      <c r="AS46" s="6"/>
      <c r="AT46" s="6"/>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row>
    <row r="47" spans="1:105" ht="12" customHeight="1" x14ac:dyDescent="0.3">
      <c r="A47" s="46"/>
      <c r="B47" s="114"/>
      <c r="C47" s="115"/>
      <c r="D47" s="209"/>
      <c r="E47" s="209"/>
      <c r="F47" s="209"/>
      <c r="G47" s="209"/>
      <c r="H47" s="209"/>
      <c r="I47" s="36"/>
      <c r="J47" s="55"/>
      <c r="K47" s="55"/>
      <c r="L47" s="36"/>
      <c r="M47" s="55"/>
      <c r="N47" s="55"/>
      <c r="O47" s="36"/>
      <c r="P47" s="55"/>
      <c r="Q47" s="55"/>
      <c r="R47" s="55"/>
      <c r="S47" s="55"/>
      <c r="T47" s="36"/>
      <c r="U47" s="55"/>
      <c r="V47" s="36"/>
      <c r="W47" s="55"/>
      <c r="X47" s="55"/>
      <c r="Y47" s="36"/>
      <c r="Z47" s="55"/>
      <c r="AA47" s="117" t="s">
        <v>142</v>
      </c>
      <c r="AB47" s="36"/>
      <c r="AC47" s="55"/>
      <c r="AD47" s="55"/>
      <c r="AE47" s="36"/>
      <c r="AF47" s="55"/>
      <c r="AG47" s="55"/>
      <c r="AH47" s="36"/>
      <c r="AI47" s="55"/>
      <c r="AJ47" s="55"/>
      <c r="AK47" s="37"/>
      <c r="AL47" s="13"/>
      <c r="AM47" s="6"/>
      <c r="AN47" s="6"/>
      <c r="AO47" s="6"/>
      <c r="AP47" s="6"/>
      <c r="AQ47" s="6"/>
      <c r="AR47" s="6"/>
      <c r="AS47" s="6"/>
      <c r="AT47" s="6"/>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row>
    <row r="48" spans="1:105" ht="12" customHeight="1" x14ac:dyDescent="0.3">
      <c r="A48" s="46"/>
      <c r="B48" s="114"/>
      <c r="C48" s="115"/>
      <c r="D48" s="210"/>
      <c r="E48" s="210"/>
      <c r="F48" s="210"/>
      <c r="G48" s="210"/>
      <c r="H48" s="210"/>
      <c r="I48" s="36"/>
      <c r="J48" s="55"/>
      <c r="K48" s="55"/>
      <c r="L48" s="36"/>
      <c r="M48" s="55"/>
      <c r="N48" s="55"/>
      <c r="O48" s="36"/>
      <c r="P48" s="55"/>
      <c r="Q48" s="55"/>
      <c r="R48" s="55"/>
      <c r="S48" s="55"/>
      <c r="T48" s="36"/>
      <c r="U48" s="55"/>
      <c r="V48" s="36"/>
      <c r="W48" s="55"/>
      <c r="X48" s="55"/>
      <c r="Y48" s="36"/>
      <c r="Z48" s="55"/>
      <c r="AA48" s="55"/>
      <c r="AB48" s="36"/>
      <c r="AC48" s="55"/>
      <c r="AD48" s="55"/>
      <c r="AE48" s="36"/>
      <c r="AF48" s="55"/>
      <c r="AG48" s="55"/>
      <c r="AH48" s="36"/>
      <c r="AI48" s="55"/>
      <c r="AJ48" s="55"/>
      <c r="AK48" s="37"/>
      <c r="AL48" s="13"/>
      <c r="AM48" s="6"/>
      <c r="AN48" s="6"/>
      <c r="AO48" s="6"/>
      <c r="AP48" s="6"/>
      <c r="AQ48" s="6"/>
      <c r="AR48" s="6"/>
      <c r="AS48" s="6"/>
      <c r="AT48" s="6"/>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row>
    <row r="49" spans="1:105" ht="12" customHeight="1" x14ac:dyDescent="0.3">
      <c r="A49" s="46"/>
      <c r="B49" s="114"/>
      <c r="C49" s="115"/>
      <c r="D49" s="115"/>
      <c r="E49" s="115"/>
      <c r="F49" s="115"/>
      <c r="G49" s="115"/>
      <c r="H49" s="115"/>
      <c r="I49" s="36"/>
      <c r="J49" s="55"/>
      <c r="K49" s="55"/>
      <c r="L49" s="36"/>
      <c r="M49" s="55"/>
      <c r="N49" s="55"/>
      <c r="O49" s="36"/>
      <c r="P49" s="55"/>
      <c r="Q49" s="55"/>
      <c r="R49" s="55"/>
      <c r="S49" s="55"/>
      <c r="T49" s="36"/>
      <c r="U49" s="55"/>
      <c r="V49" s="36"/>
      <c r="W49" s="55"/>
      <c r="X49" s="55"/>
      <c r="Y49" s="36"/>
      <c r="Z49" s="55"/>
      <c r="AA49" s="55"/>
      <c r="AB49" s="36"/>
      <c r="AC49" s="55"/>
      <c r="AD49" s="55"/>
      <c r="AE49" s="36"/>
      <c r="AF49" s="55"/>
      <c r="AG49" s="55"/>
      <c r="AH49" s="36"/>
      <c r="AI49" s="55"/>
      <c r="AJ49" s="55"/>
      <c r="AK49" s="37"/>
      <c r="AL49" s="13"/>
      <c r="AM49" s="6"/>
      <c r="AN49" s="6"/>
      <c r="AO49" s="6"/>
      <c r="AP49" s="6"/>
      <c r="AQ49" s="6"/>
      <c r="AR49" s="6"/>
      <c r="AS49" s="6"/>
      <c r="AT49" s="6"/>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row>
    <row r="50" spans="1:105" ht="12" customHeight="1" x14ac:dyDescent="0.3">
      <c r="A50" s="46">
        <v>10</v>
      </c>
      <c r="B50" s="114"/>
      <c r="C50" s="115"/>
      <c r="D50" s="208" t="s">
        <v>144</v>
      </c>
      <c r="E50" s="209"/>
      <c r="F50" s="209"/>
      <c r="G50" s="209"/>
      <c r="H50" s="209"/>
      <c r="I50" s="36"/>
      <c r="J50" s="55"/>
      <c r="K50" s="116" t="s">
        <v>100</v>
      </c>
      <c r="L50" s="36"/>
      <c r="M50" s="55"/>
      <c r="N50" s="116" t="s">
        <v>145</v>
      </c>
      <c r="O50" s="36"/>
      <c r="P50" s="55"/>
      <c r="Q50" s="211" t="s">
        <v>146</v>
      </c>
      <c r="R50" s="211"/>
      <c r="S50" s="211"/>
      <c r="T50" s="36"/>
      <c r="U50" s="55"/>
      <c r="V50" s="36"/>
      <c r="W50" s="55"/>
      <c r="X50" s="116" t="s">
        <v>147</v>
      </c>
      <c r="Y50" s="36"/>
      <c r="Z50" s="55"/>
      <c r="AA50" s="116" t="s">
        <v>148</v>
      </c>
      <c r="AB50" s="36"/>
      <c r="AC50" s="55"/>
      <c r="AD50" s="10">
        <v>1424445000</v>
      </c>
      <c r="AE50" s="36"/>
      <c r="AF50" s="55"/>
      <c r="AG50" s="117" t="s">
        <v>132</v>
      </c>
      <c r="AH50" s="36"/>
      <c r="AI50" s="55"/>
      <c r="AJ50" s="55"/>
      <c r="AK50" s="37"/>
      <c r="AL50" s="13"/>
      <c r="AM50" s="6"/>
      <c r="AN50" s="6"/>
      <c r="AO50" s="6"/>
      <c r="AP50" s="6"/>
      <c r="AQ50" s="6"/>
      <c r="AR50" s="6"/>
      <c r="AS50" s="6"/>
      <c r="AT50" s="6"/>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row>
    <row r="51" spans="1:105" ht="12" customHeight="1" x14ac:dyDescent="0.3">
      <c r="A51" s="46"/>
      <c r="B51" s="114"/>
      <c r="C51" s="115"/>
      <c r="D51" s="209"/>
      <c r="E51" s="209"/>
      <c r="F51" s="209"/>
      <c r="G51" s="209"/>
      <c r="H51" s="209"/>
      <c r="I51" s="36"/>
      <c r="J51" s="55"/>
      <c r="K51" s="55"/>
      <c r="L51" s="36"/>
      <c r="M51" s="55"/>
      <c r="N51" s="55"/>
      <c r="O51" s="36"/>
      <c r="P51" s="55"/>
      <c r="Q51" s="211"/>
      <c r="R51" s="211"/>
      <c r="S51" s="211"/>
      <c r="T51" s="36"/>
      <c r="U51" s="55"/>
      <c r="V51" s="36"/>
      <c r="W51" s="55"/>
      <c r="X51" s="55"/>
      <c r="Y51" s="36"/>
      <c r="Z51" s="55"/>
      <c r="AA51" s="117" t="s">
        <v>149</v>
      </c>
      <c r="AB51" s="36"/>
      <c r="AC51" s="55"/>
      <c r="AD51" s="55"/>
      <c r="AE51" s="36"/>
      <c r="AF51" s="55"/>
      <c r="AG51" s="55"/>
      <c r="AH51" s="36"/>
      <c r="AI51" s="55"/>
      <c r="AJ51" s="55"/>
      <c r="AK51" s="37"/>
      <c r="AL51" s="13"/>
      <c r="AM51" s="6"/>
      <c r="AN51" s="6"/>
      <c r="AO51" s="6"/>
      <c r="AP51" s="6"/>
      <c r="AQ51" s="6"/>
      <c r="AR51" s="6"/>
      <c r="AS51" s="6"/>
      <c r="AT51" s="6"/>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row>
    <row r="52" spans="1:105" ht="12" customHeight="1" x14ac:dyDescent="0.3">
      <c r="A52" s="46"/>
      <c r="B52" s="114"/>
      <c r="C52" s="115"/>
      <c r="D52" s="210"/>
      <c r="E52" s="210"/>
      <c r="F52" s="210"/>
      <c r="G52" s="210"/>
      <c r="H52" s="210"/>
      <c r="I52" s="36"/>
      <c r="J52" s="55"/>
      <c r="K52" s="55"/>
      <c r="L52" s="36"/>
      <c r="M52" s="55"/>
      <c r="N52" s="55"/>
      <c r="O52" s="36"/>
      <c r="P52" s="55"/>
      <c r="Q52" s="211"/>
      <c r="R52" s="211"/>
      <c r="S52" s="211"/>
      <c r="T52" s="36"/>
      <c r="U52" s="55"/>
      <c r="V52" s="36"/>
      <c r="W52" s="55"/>
      <c r="X52" s="55"/>
      <c r="Y52" s="36"/>
      <c r="Z52" s="55"/>
      <c r="AA52" s="55"/>
      <c r="AB52" s="36"/>
      <c r="AC52" s="55"/>
      <c r="AD52" s="55"/>
      <c r="AE52" s="36"/>
      <c r="AF52" s="55"/>
      <c r="AG52" s="55"/>
      <c r="AH52" s="36"/>
      <c r="AI52" s="55"/>
      <c r="AJ52" s="55"/>
      <c r="AK52" s="37"/>
      <c r="AL52" s="13"/>
      <c r="AM52" s="6"/>
      <c r="AN52" s="6"/>
      <c r="AO52" s="6"/>
      <c r="AP52" s="6"/>
      <c r="AQ52" s="6"/>
      <c r="AR52" s="6"/>
      <c r="AS52" s="6"/>
      <c r="AT52" s="6"/>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row>
    <row r="53" spans="1:105" ht="12" customHeight="1" x14ac:dyDescent="0.3">
      <c r="A53" s="46"/>
      <c r="B53" s="114"/>
      <c r="C53" s="115"/>
      <c r="D53" s="210"/>
      <c r="E53" s="210"/>
      <c r="F53" s="210"/>
      <c r="G53" s="210"/>
      <c r="H53" s="210"/>
      <c r="I53" s="36"/>
      <c r="J53" s="55"/>
      <c r="K53" s="55"/>
      <c r="L53" s="36"/>
      <c r="M53" s="55"/>
      <c r="N53" s="55"/>
      <c r="O53" s="36"/>
      <c r="P53" s="55"/>
      <c r="Q53" s="55"/>
      <c r="R53" s="55"/>
      <c r="S53" s="55"/>
      <c r="T53" s="36"/>
      <c r="U53" s="55"/>
      <c r="V53" s="36"/>
      <c r="W53" s="55"/>
      <c r="X53" s="55"/>
      <c r="Y53" s="36"/>
      <c r="Z53" s="55"/>
      <c r="AA53" s="55"/>
      <c r="AB53" s="36"/>
      <c r="AC53" s="55"/>
      <c r="AD53" s="55"/>
      <c r="AE53" s="36"/>
      <c r="AF53" s="55"/>
      <c r="AG53" s="55"/>
      <c r="AH53" s="36"/>
      <c r="AI53" s="55"/>
      <c r="AJ53" s="55"/>
      <c r="AK53" s="37"/>
      <c r="AL53" s="13"/>
      <c r="AM53" s="6"/>
      <c r="AN53" s="6"/>
      <c r="AO53" s="6"/>
      <c r="AP53" s="6"/>
      <c r="AQ53" s="6"/>
      <c r="AR53" s="6"/>
      <c r="AS53" s="6"/>
      <c r="AT53" s="6"/>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row>
    <row r="54" spans="1:105" ht="12" customHeight="1" x14ac:dyDescent="0.3">
      <c r="A54" s="46"/>
      <c r="B54" s="114"/>
      <c r="C54" s="115"/>
      <c r="D54" s="115"/>
      <c r="E54" s="115"/>
      <c r="F54" s="115"/>
      <c r="G54" s="115"/>
      <c r="H54" s="115"/>
      <c r="I54" s="36"/>
      <c r="J54" s="55"/>
      <c r="K54" s="55"/>
      <c r="L54" s="36"/>
      <c r="M54" s="55"/>
      <c r="N54" s="55"/>
      <c r="O54" s="36"/>
      <c r="P54" s="55"/>
      <c r="Q54" s="55"/>
      <c r="R54" s="55"/>
      <c r="S54" s="55"/>
      <c r="T54" s="36"/>
      <c r="U54" s="55"/>
      <c r="V54" s="36"/>
      <c r="W54" s="55"/>
      <c r="X54" s="55"/>
      <c r="Y54" s="36"/>
      <c r="Z54" s="55"/>
      <c r="AA54" s="55"/>
      <c r="AB54" s="36"/>
      <c r="AC54" s="55"/>
      <c r="AD54" s="55"/>
      <c r="AE54" s="36"/>
      <c r="AF54" s="55"/>
      <c r="AG54" s="55"/>
      <c r="AH54" s="36"/>
      <c r="AI54" s="55"/>
      <c r="AJ54" s="55"/>
      <c r="AK54" s="37"/>
      <c r="AL54" s="13"/>
      <c r="AM54" s="6"/>
      <c r="AN54" s="6"/>
      <c r="AO54" s="6"/>
      <c r="AP54" s="6"/>
      <c r="AQ54" s="6"/>
      <c r="AR54" s="6"/>
      <c r="AS54" s="6"/>
      <c r="AT54" s="6"/>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row>
    <row r="55" spans="1:105" ht="12" customHeight="1" x14ac:dyDescent="0.3">
      <c r="A55" s="46">
        <v>11</v>
      </c>
      <c r="B55" s="114"/>
      <c r="C55" s="115"/>
      <c r="D55" s="208" t="s">
        <v>154</v>
      </c>
      <c r="E55" s="209"/>
      <c r="F55" s="209"/>
      <c r="G55" s="209"/>
      <c r="H55" s="209"/>
      <c r="I55" s="36"/>
      <c r="J55" s="55"/>
      <c r="K55" s="116" t="s">
        <v>156</v>
      </c>
      <c r="L55" s="36"/>
      <c r="M55" s="55"/>
      <c r="N55" s="116" t="s">
        <v>155</v>
      </c>
      <c r="O55" s="36"/>
      <c r="P55" s="55"/>
      <c r="Q55" s="116" t="s">
        <v>157</v>
      </c>
      <c r="R55" s="55"/>
      <c r="S55" s="55"/>
      <c r="T55" s="36"/>
      <c r="U55" s="55"/>
      <c r="V55" s="36"/>
      <c r="W55" s="55"/>
      <c r="X55" s="116" t="s">
        <v>22</v>
      </c>
      <c r="Y55" s="36"/>
      <c r="Z55" s="55"/>
      <c r="AA55" s="116" t="s">
        <v>158</v>
      </c>
      <c r="AB55" s="36"/>
      <c r="AC55" s="55"/>
      <c r="AD55" s="10">
        <v>9024082440</v>
      </c>
      <c r="AE55" s="36"/>
      <c r="AF55" s="55"/>
      <c r="AG55" s="117" t="s">
        <v>160</v>
      </c>
      <c r="AH55" s="36"/>
      <c r="AI55" s="55"/>
      <c r="AJ55" s="55"/>
      <c r="AK55" s="37"/>
      <c r="AL55" s="13"/>
      <c r="AM55" s="6"/>
      <c r="AN55" s="6"/>
      <c r="AO55" s="6"/>
      <c r="AP55" s="6"/>
      <c r="AQ55" s="6"/>
      <c r="AR55" s="6"/>
      <c r="AS55" s="6"/>
      <c r="AT55" s="6"/>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row>
    <row r="56" spans="1:105" ht="12" customHeight="1" x14ac:dyDescent="0.3">
      <c r="A56" s="113"/>
      <c r="B56" s="114"/>
      <c r="C56" s="115"/>
      <c r="D56" s="209"/>
      <c r="E56" s="209"/>
      <c r="F56" s="209"/>
      <c r="G56" s="209"/>
      <c r="H56" s="209"/>
      <c r="I56" s="36"/>
      <c r="J56" s="55"/>
      <c r="K56" s="55"/>
      <c r="L56" s="36"/>
      <c r="M56" s="55"/>
      <c r="N56" s="55"/>
      <c r="O56" s="36"/>
      <c r="P56" s="55"/>
      <c r="Q56" s="55"/>
      <c r="R56" s="55"/>
      <c r="S56" s="55"/>
      <c r="T56" s="36"/>
      <c r="U56" s="55"/>
      <c r="V56" s="36"/>
      <c r="W56" s="55"/>
      <c r="X56" s="55"/>
      <c r="Y56" s="36"/>
      <c r="Z56" s="55"/>
      <c r="AA56" s="117" t="s">
        <v>159</v>
      </c>
      <c r="AB56" s="36"/>
      <c r="AC56" s="55"/>
      <c r="AD56" s="55"/>
      <c r="AE56" s="36"/>
      <c r="AF56" s="55"/>
      <c r="AG56" s="55"/>
      <c r="AH56" s="36"/>
      <c r="AI56" s="55"/>
      <c r="AJ56" s="55"/>
      <c r="AK56" s="37"/>
      <c r="AL56" s="13"/>
      <c r="AM56" s="6"/>
      <c r="AN56" s="6"/>
      <c r="AO56" s="6"/>
      <c r="AP56" s="6"/>
      <c r="AQ56" s="6"/>
      <c r="AR56" s="6"/>
      <c r="AS56" s="6"/>
      <c r="AT56" s="6"/>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row>
    <row r="57" spans="1:105" ht="12" customHeight="1" x14ac:dyDescent="0.3">
      <c r="A57" s="113"/>
      <c r="B57" s="114"/>
      <c r="C57" s="115"/>
      <c r="D57" s="210"/>
      <c r="E57" s="210"/>
      <c r="F57" s="210"/>
      <c r="G57" s="210"/>
      <c r="H57" s="210"/>
      <c r="I57" s="36"/>
      <c r="J57" s="55"/>
      <c r="K57" s="55"/>
      <c r="L57" s="36"/>
      <c r="M57" s="55"/>
      <c r="N57" s="55"/>
      <c r="O57" s="36"/>
      <c r="P57" s="55"/>
      <c r="Q57" s="55"/>
      <c r="R57" s="55"/>
      <c r="S57" s="55"/>
      <c r="T57" s="36"/>
      <c r="U57" s="55"/>
      <c r="V57" s="36"/>
      <c r="W57" s="55"/>
      <c r="X57" s="55"/>
      <c r="Y57" s="36"/>
      <c r="Z57" s="55"/>
      <c r="AA57" s="55"/>
      <c r="AB57" s="36"/>
      <c r="AC57" s="55"/>
      <c r="AD57" s="55"/>
      <c r="AE57" s="36"/>
      <c r="AF57" s="55"/>
      <c r="AG57" s="55"/>
      <c r="AH57" s="36"/>
      <c r="AI57" s="55"/>
      <c r="AJ57" s="55"/>
      <c r="AK57" s="37"/>
      <c r="AL57" s="13"/>
      <c r="AM57" s="6"/>
      <c r="AN57" s="6"/>
      <c r="AO57" s="6"/>
      <c r="AP57" s="6"/>
      <c r="AQ57" s="6"/>
      <c r="AR57" s="6"/>
      <c r="AS57" s="6"/>
      <c r="AT57" s="6"/>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row>
    <row r="58" spans="1:105" ht="12" customHeight="1" x14ac:dyDescent="0.3">
      <c r="A58" s="113"/>
      <c r="B58" s="114"/>
      <c r="C58" s="115"/>
      <c r="D58" s="210"/>
      <c r="E58" s="210"/>
      <c r="F58" s="210"/>
      <c r="G58" s="210"/>
      <c r="H58" s="210"/>
      <c r="I58" s="36"/>
      <c r="J58" s="55"/>
      <c r="K58" s="55"/>
      <c r="L58" s="36"/>
      <c r="M58" s="55"/>
      <c r="N58" s="55"/>
      <c r="O58" s="36"/>
      <c r="P58" s="55"/>
      <c r="Q58" s="55"/>
      <c r="R58" s="55"/>
      <c r="S58" s="55"/>
      <c r="T58" s="36"/>
      <c r="U58" s="55"/>
      <c r="V58" s="36"/>
      <c r="W58" s="55"/>
      <c r="X58" s="55"/>
      <c r="Y58" s="36"/>
      <c r="Z58" s="55"/>
      <c r="AA58" s="55"/>
      <c r="AB58" s="36"/>
      <c r="AC58" s="55"/>
      <c r="AD58" s="55"/>
      <c r="AE58" s="36"/>
      <c r="AF58" s="55"/>
      <c r="AG58" s="55"/>
      <c r="AH58" s="36"/>
      <c r="AI58" s="55"/>
      <c r="AJ58" s="55"/>
      <c r="AK58" s="37"/>
      <c r="AL58" s="13"/>
      <c r="AM58" s="6"/>
      <c r="AN58" s="6"/>
      <c r="AO58" s="6"/>
      <c r="AP58" s="6"/>
      <c r="AQ58" s="6"/>
      <c r="AR58" s="6"/>
      <c r="AS58" s="6"/>
      <c r="AT58" s="6"/>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row>
    <row r="59" spans="1:105" ht="12" customHeight="1" x14ac:dyDescent="0.3">
      <c r="A59" s="113"/>
      <c r="B59" s="114"/>
      <c r="C59" s="115"/>
      <c r="D59" s="115"/>
      <c r="E59" s="115"/>
      <c r="F59" s="115"/>
      <c r="G59" s="115"/>
      <c r="H59" s="115"/>
      <c r="I59" s="36"/>
      <c r="J59" s="55"/>
      <c r="K59" s="55"/>
      <c r="L59" s="36"/>
      <c r="M59" s="55"/>
      <c r="N59" s="55"/>
      <c r="O59" s="36"/>
      <c r="P59" s="55"/>
      <c r="Q59" s="55"/>
      <c r="R59" s="55"/>
      <c r="S59" s="55"/>
      <c r="T59" s="36"/>
      <c r="U59" s="55"/>
      <c r="V59" s="36"/>
      <c r="W59" s="55"/>
      <c r="X59" s="55"/>
      <c r="Y59" s="36"/>
      <c r="Z59" s="55"/>
      <c r="AA59" s="55"/>
      <c r="AB59" s="36"/>
      <c r="AC59" s="55"/>
      <c r="AD59" s="55"/>
      <c r="AE59" s="36"/>
      <c r="AF59" s="55"/>
      <c r="AG59" s="55"/>
      <c r="AH59" s="36"/>
      <c r="AI59" s="55"/>
      <c r="AJ59" s="55"/>
      <c r="AK59" s="37"/>
      <c r="AL59" s="13"/>
      <c r="AM59" s="6"/>
      <c r="AN59" s="6"/>
      <c r="AO59" s="6"/>
      <c r="AP59" s="6"/>
      <c r="AQ59" s="6"/>
      <c r="AR59" s="6"/>
      <c r="AS59" s="6"/>
      <c r="AT59" s="6"/>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row>
    <row r="60" spans="1:105" ht="12" customHeight="1" x14ac:dyDescent="0.25">
      <c r="A60" s="46">
        <v>12</v>
      </c>
      <c r="B60" s="47"/>
      <c r="C60" s="48"/>
      <c r="D60" s="211" t="s">
        <v>56</v>
      </c>
      <c r="E60" s="211"/>
      <c r="F60" s="211"/>
      <c r="G60" s="211"/>
      <c r="H60" s="211"/>
      <c r="I60" s="47"/>
      <c r="J60" s="48"/>
      <c r="K60" s="75" t="s">
        <v>20</v>
      </c>
      <c r="L60" s="47"/>
      <c r="M60" s="48"/>
      <c r="N60" s="277" t="s">
        <v>57</v>
      </c>
      <c r="O60" s="47"/>
      <c r="P60" s="48"/>
      <c r="Q60" s="211" t="s">
        <v>58</v>
      </c>
      <c r="R60" s="211"/>
      <c r="S60" s="211"/>
      <c r="T60" s="47"/>
      <c r="U60" s="48"/>
      <c r="V60" s="47"/>
      <c r="W60" s="48"/>
      <c r="X60" s="75" t="s">
        <v>22</v>
      </c>
      <c r="Y60" s="47"/>
      <c r="Z60" s="48"/>
      <c r="AA60" s="76" t="s">
        <v>59</v>
      </c>
      <c r="AB60" s="47"/>
      <c r="AC60" s="48"/>
      <c r="AD60" s="10">
        <v>3643616000</v>
      </c>
      <c r="AE60" s="47"/>
      <c r="AF60" s="48"/>
      <c r="AG60" s="77" t="s">
        <v>61</v>
      </c>
      <c r="AH60" s="47"/>
      <c r="AI60" s="48"/>
      <c r="AJ60" s="48"/>
      <c r="AK60" s="49"/>
      <c r="AL60" s="13"/>
      <c r="AM60" s="6"/>
      <c r="AN60" s="6"/>
      <c r="AO60" s="6"/>
      <c r="AP60" s="6"/>
      <c r="AQ60" s="6"/>
      <c r="AR60" s="6"/>
      <c r="AS60" s="6"/>
      <c r="AT60" s="6"/>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row>
    <row r="61" spans="1:105" ht="12" customHeight="1" x14ac:dyDescent="0.25">
      <c r="A61" s="46"/>
      <c r="B61" s="47"/>
      <c r="C61" s="48"/>
      <c r="D61" s="211"/>
      <c r="E61" s="211"/>
      <c r="F61" s="211"/>
      <c r="G61" s="211"/>
      <c r="H61" s="211"/>
      <c r="I61" s="47"/>
      <c r="J61" s="48"/>
      <c r="K61" s="48"/>
      <c r="L61" s="47"/>
      <c r="M61" s="48"/>
      <c r="N61" s="277"/>
      <c r="O61" s="47"/>
      <c r="P61" s="48"/>
      <c r="Q61" s="211"/>
      <c r="R61" s="211"/>
      <c r="S61" s="211"/>
      <c r="T61" s="47"/>
      <c r="U61" s="48"/>
      <c r="V61" s="47"/>
      <c r="W61" s="48"/>
      <c r="X61" s="48"/>
      <c r="Y61" s="47"/>
      <c r="Z61" s="48"/>
      <c r="AA61" s="77" t="s">
        <v>60</v>
      </c>
      <c r="AB61" s="47"/>
      <c r="AC61" s="48"/>
      <c r="AD61" s="48"/>
      <c r="AE61" s="47"/>
      <c r="AF61" s="48"/>
      <c r="AG61" s="48"/>
      <c r="AH61" s="47"/>
      <c r="AI61" s="48"/>
      <c r="AJ61" s="48"/>
      <c r="AK61" s="49"/>
      <c r="AL61" s="13"/>
      <c r="AM61" s="6"/>
      <c r="AN61" s="6"/>
      <c r="AO61" s="6"/>
      <c r="AP61" s="6"/>
      <c r="AQ61" s="6"/>
      <c r="AR61" s="6"/>
      <c r="AS61" s="6"/>
      <c r="AT61" s="6"/>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row>
    <row r="62" spans="1:105" ht="12" customHeight="1" x14ac:dyDescent="0.25">
      <c r="A62" s="46"/>
      <c r="B62" s="47"/>
      <c r="C62" s="48"/>
      <c r="D62" s="211"/>
      <c r="E62" s="211"/>
      <c r="F62" s="211"/>
      <c r="G62" s="211"/>
      <c r="H62" s="211"/>
      <c r="I62" s="47"/>
      <c r="J62" s="48"/>
      <c r="K62" s="48"/>
      <c r="L62" s="47"/>
      <c r="M62" s="48"/>
      <c r="N62" s="277"/>
      <c r="O62" s="47"/>
      <c r="P62" s="48"/>
      <c r="Q62" s="211"/>
      <c r="R62" s="211"/>
      <c r="S62" s="211"/>
      <c r="T62" s="47"/>
      <c r="U62" s="48"/>
      <c r="V62" s="47"/>
      <c r="W62" s="48"/>
      <c r="X62" s="48"/>
      <c r="Y62" s="47"/>
      <c r="Z62" s="48"/>
      <c r="AA62" s="48"/>
      <c r="AB62" s="47"/>
      <c r="AC62" s="48"/>
      <c r="AD62" s="48"/>
      <c r="AE62" s="47"/>
      <c r="AF62" s="48"/>
      <c r="AG62" s="48"/>
      <c r="AH62" s="47"/>
      <c r="AI62" s="48"/>
      <c r="AJ62" s="48"/>
      <c r="AK62" s="49"/>
      <c r="AL62" s="13"/>
      <c r="AM62" s="6"/>
      <c r="AN62" s="6"/>
      <c r="AO62" s="6"/>
      <c r="AP62" s="6"/>
      <c r="AQ62" s="6"/>
      <c r="AR62" s="6"/>
      <c r="AS62" s="6"/>
      <c r="AT62" s="6"/>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row>
    <row r="63" spans="1:105" ht="12" customHeight="1" x14ac:dyDescent="0.25">
      <c r="A63" s="46"/>
      <c r="B63" s="47"/>
      <c r="C63" s="48"/>
      <c r="D63" s="211"/>
      <c r="E63" s="211"/>
      <c r="F63" s="211"/>
      <c r="G63" s="211"/>
      <c r="H63" s="211"/>
      <c r="I63" s="47"/>
      <c r="J63" s="48"/>
      <c r="K63" s="48"/>
      <c r="L63" s="47"/>
      <c r="M63" s="48"/>
      <c r="N63" s="277"/>
      <c r="O63" s="47"/>
      <c r="P63" s="48"/>
      <c r="Q63" s="48"/>
      <c r="R63" s="48"/>
      <c r="S63" s="48"/>
      <c r="T63" s="47"/>
      <c r="U63" s="48"/>
      <c r="V63" s="47"/>
      <c r="W63" s="48"/>
      <c r="X63" s="48"/>
      <c r="Y63" s="47"/>
      <c r="Z63" s="48"/>
      <c r="AA63" s="48"/>
      <c r="AB63" s="47"/>
      <c r="AC63" s="48"/>
      <c r="AD63" s="48"/>
      <c r="AE63" s="47"/>
      <c r="AF63" s="48"/>
      <c r="AG63" s="48"/>
      <c r="AH63" s="47"/>
      <c r="AI63" s="48"/>
      <c r="AJ63" s="48"/>
      <c r="AK63" s="49"/>
      <c r="AL63" s="13"/>
      <c r="AM63" s="6"/>
      <c r="AN63" s="6"/>
      <c r="AO63" s="6"/>
      <c r="AP63" s="6"/>
      <c r="AQ63" s="6"/>
      <c r="AR63" s="6"/>
      <c r="AS63" s="6"/>
      <c r="AT63" s="6"/>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row>
    <row r="64" spans="1:105" ht="12" customHeight="1" x14ac:dyDescent="0.25">
      <c r="A64" s="46"/>
      <c r="B64" s="47"/>
      <c r="C64" s="48"/>
      <c r="D64" s="211"/>
      <c r="E64" s="211"/>
      <c r="F64" s="211"/>
      <c r="G64" s="211"/>
      <c r="H64" s="211"/>
      <c r="I64" s="47"/>
      <c r="J64" s="48"/>
      <c r="K64" s="48"/>
      <c r="L64" s="47"/>
      <c r="M64" s="48"/>
      <c r="N64" s="48"/>
      <c r="O64" s="47"/>
      <c r="P64" s="48"/>
      <c r="Q64" s="48"/>
      <c r="R64" s="48"/>
      <c r="S64" s="48"/>
      <c r="T64" s="47"/>
      <c r="U64" s="48"/>
      <c r="V64" s="47"/>
      <c r="W64" s="48"/>
      <c r="X64" s="48"/>
      <c r="Y64" s="47"/>
      <c r="Z64" s="48"/>
      <c r="AA64" s="48"/>
      <c r="AB64" s="47"/>
      <c r="AC64" s="48"/>
      <c r="AD64" s="48"/>
      <c r="AE64" s="47"/>
      <c r="AF64" s="48"/>
      <c r="AG64" s="48"/>
      <c r="AH64" s="47"/>
      <c r="AI64" s="48"/>
      <c r="AJ64" s="48"/>
      <c r="AK64" s="49"/>
      <c r="AL64" s="13"/>
      <c r="AM64" s="6"/>
      <c r="AN64" s="6"/>
      <c r="AO64" s="6"/>
      <c r="AP64" s="6"/>
      <c r="AQ64" s="6"/>
      <c r="AR64" s="6"/>
      <c r="AS64" s="6"/>
      <c r="AT64" s="6"/>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row>
    <row r="65" spans="1:105" ht="12" customHeight="1" thickBot="1" x14ac:dyDescent="0.3">
      <c r="A65" s="46"/>
      <c r="B65" s="47"/>
      <c r="C65" s="48"/>
      <c r="D65" s="211"/>
      <c r="E65" s="211"/>
      <c r="F65" s="211"/>
      <c r="G65" s="211"/>
      <c r="H65" s="211"/>
      <c r="I65" s="47"/>
      <c r="J65" s="48"/>
      <c r="K65" s="48"/>
      <c r="L65" s="47"/>
      <c r="M65" s="48"/>
      <c r="N65" s="48"/>
      <c r="O65" s="47"/>
      <c r="P65" s="48"/>
      <c r="Q65" s="48"/>
      <c r="R65" s="48"/>
      <c r="S65" s="48"/>
      <c r="T65" s="47"/>
      <c r="U65" s="48"/>
      <c r="V65" s="47"/>
      <c r="W65" s="48"/>
      <c r="X65" s="48"/>
      <c r="Y65" s="47"/>
      <c r="Z65" s="48"/>
      <c r="AA65" s="48"/>
      <c r="AB65" s="47"/>
      <c r="AC65" s="48"/>
      <c r="AD65" s="48"/>
      <c r="AE65" s="47"/>
      <c r="AF65" s="48"/>
      <c r="AG65" s="48"/>
      <c r="AH65" s="47"/>
      <c r="AI65" s="48"/>
      <c r="AJ65" s="48"/>
      <c r="AK65" s="49"/>
      <c r="AL65" s="13"/>
      <c r="AM65" s="6"/>
      <c r="AN65" s="6"/>
      <c r="AO65" s="6"/>
      <c r="AP65" s="6"/>
      <c r="AQ65" s="6"/>
      <c r="AR65" s="6"/>
      <c r="AS65" s="6"/>
      <c r="AT65" s="6"/>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row>
    <row r="66" spans="1:105" ht="12" customHeight="1" thickTop="1" x14ac:dyDescent="0.25">
      <c r="A66" s="181"/>
      <c r="B66" s="182"/>
      <c r="C66" s="183"/>
      <c r="D66" s="183"/>
      <c r="E66" s="183"/>
      <c r="F66" s="183"/>
      <c r="G66" s="183"/>
      <c r="H66" s="183"/>
      <c r="I66" s="182"/>
      <c r="J66" s="183"/>
      <c r="K66" s="183"/>
      <c r="L66" s="182"/>
      <c r="M66" s="183"/>
      <c r="N66" s="183"/>
      <c r="O66" s="182"/>
      <c r="P66" s="183"/>
      <c r="Q66" s="183"/>
      <c r="R66" s="183"/>
      <c r="S66" s="183"/>
      <c r="T66" s="182"/>
      <c r="U66" s="183"/>
      <c r="V66" s="182"/>
      <c r="W66" s="183"/>
      <c r="X66" s="183"/>
      <c r="Y66" s="182"/>
      <c r="Z66" s="183"/>
      <c r="AA66" s="183"/>
      <c r="AB66" s="182"/>
      <c r="AC66" s="183"/>
      <c r="AD66" s="183"/>
      <c r="AE66" s="182"/>
      <c r="AF66" s="183"/>
      <c r="AG66" s="183"/>
      <c r="AH66" s="182"/>
      <c r="AI66" s="183"/>
      <c r="AJ66" s="183"/>
      <c r="AK66" s="184"/>
      <c r="AL66" s="13"/>
      <c r="AM66" s="6"/>
      <c r="AN66" s="6"/>
      <c r="AO66" s="6"/>
      <c r="AP66" s="6"/>
      <c r="AQ66" s="6"/>
      <c r="AR66" s="6"/>
      <c r="AS66" s="6"/>
      <c r="AT66" s="6"/>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row>
    <row r="67" spans="1:105" ht="12" customHeight="1" x14ac:dyDescent="0.25">
      <c r="A67" s="46">
        <v>13</v>
      </c>
      <c r="B67" s="47"/>
      <c r="C67" s="48"/>
      <c r="D67" s="208" t="s">
        <v>62</v>
      </c>
      <c r="E67" s="230"/>
      <c r="F67" s="230"/>
      <c r="G67" s="230"/>
      <c r="H67" s="230"/>
      <c r="I67" s="47"/>
      <c r="J67" s="48"/>
      <c r="K67" s="75" t="s">
        <v>20</v>
      </c>
      <c r="L67" s="47"/>
      <c r="M67" s="48"/>
      <c r="N67" s="75" t="s">
        <v>63</v>
      </c>
      <c r="O67" s="47"/>
      <c r="P67" s="48"/>
      <c r="Q67" s="211" t="s">
        <v>64</v>
      </c>
      <c r="R67" s="211"/>
      <c r="S67" s="211"/>
      <c r="T67" s="47"/>
      <c r="U67" s="48"/>
      <c r="V67" s="47"/>
      <c r="W67" s="48"/>
      <c r="X67" s="75" t="s">
        <v>65</v>
      </c>
      <c r="Y67" s="47"/>
      <c r="Z67" s="48"/>
      <c r="AA67" s="75" t="s">
        <v>66</v>
      </c>
      <c r="AB67" s="47"/>
      <c r="AC67" s="48"/>
      <c r="AD67" s="10">
        <v>1298035000</v>
      </c>
      <c r="AE67" s="47"/>
      <c r="AF67" s="48"/>
      <c r="AG67" s="77" t="s">
        <v>68</v>
      </c>
      <c r="AH67" s="47"/>
      <c r="AI67" s="48"/>
      <c r="AJ67" s="48"/>
      <c r="AK67" s="49"/>
      <c r="AL67" s="13"/>
      <c r="AM67" s="6"/>
      <c r="AN67" s="6"/>
      <c r="AO67" s="6"/>
      <c r="AP67" s="6"/>
      <c r="AQ67" s="6"/>
      <c r="AR67" s="6"/>
      <c r="AS67" s="6"/>
      <c r="AT67" s="6"/>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row>
    <row r="68" spans="1:105" ht="12" customHeight="1" x14ac:dyDescent="0.25">
      <c r="A68" s="46"/>
      <c r="B68" s="47"/>
      <c r="C68" s="48"/>
      <c r="D68" s="230"/>
      <c r="E68" s="230"/>
      <c r="F68" s="230"/>
      <c r="G68" s="230"/>
      <c r="H68" s="230"/>
      <c r="I68" s="47"/>
      <c r="J68" s="48"/>
      <c r="K68" s="48"/>
      <c r="L68" s="47"/>
      <c r="M68" s="48"/>
      <c r="N68" s="48"/>
      <c r="O68" s="47"/>
      <c r="P68" s="48"/>
      <c r="Q68" s="211"/>
      <c r="R68" s="211"/>
      <c r="S68" s="211"/>
      <c r="T68" s="47"/>
      <c r="U68" s="48"/>
      <c r="V68" s="47"/>
      <c r="W68" s="48"/>
      <c r="X68" s="48"/>
      <c r="Y68" s="47"/>
      <c r="Z68" s="48"/>
      <c r="AA68" s="77" t="s">
        <v>67</v>
      </c>
      <c r="AB68" s="47"/>
      <c r="AC68" s="48"/>
      <c r="AD68" s="48"/>
      <c r="AE68" s="47"/>
      <c r="AF68" s="48"/>
      <c r="AG68" s="48"/>
      <c r="AH68" s="47"/>
      <c r="AI68" s="48"/>
      <c r="AJ68" s="48"/>
      <c r="AK68" s="49"/>
      <c r="AL68" s="13"/>
      <c r="AM68" s="6"/>
      <c r="AN68" s="6"/>
      <c r="AO68" s="6"/>
      <c r="AP68" s="6"/>
      <c r="AQ68" s="6"/>
      <c r="AR68" s="6"/>
      <c r="AS68" s="6"/>
      <c r="AT68" s="6"/>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row>
    <row r="69" spans="1:105" ht="12" customHeight="1" x14ac:dyDescent="0.25">
      <c r="A69" s="46"/>
      <c r="B69" s="47"/>
      <c r="C69" s="48"/>
      <c r="D69" s="278"/>
      <c r="E69" s="278"/>
      <c r="F69" s="278"/>
      <c r="G69" s="278"/>
      <c r="H69" s="278"/>
      <c r="I69" s="47"/>
      <c r="J69" s="48"/>
      <c r="K69" s="48"/>
      <c r="L69" s="47"/>
      <c r="M69" s="48"/>
      <c r="N69" s="48"/>
      <c r="O69" s="47"/>
      <c r="P69" s="48"/>
      <c r="Q69" s="211"/>
      <c r="R69" s="211"/>
      <c r="S69" s="211"/>
      <c r="T69" s="47"/>
      <c r="U69" s="48"/>
      <c r="V69" s="47"/>
      <c r="W69" s="48"/>
      <c r="X69" s="48"/>
      <c r="Y69" s="47"/>
      <c r="Z69" s="48"/>
      <c r="AA69" s="48"/>
      <c r="AB69" s="47"/>
      <c r="AC69" s="48"/>
      <c r="AD69" s="48"/>
      <c r="AE69" s="47"/>
      <c r="AF69" s="48"/>
      <c r="AG69" s="48"/>
      <c r="AH69" s="47"/>
      <c r="AI69" s="48"/>
      <c r="AJ69" s="48"/>
      <c r="AK69" s="49"/>
      <c r="AL69" s="13"/>
      <c r="AM69" s="6"/>
      <c r="AN69" s="6"/>
      <c r="AO69" s="6"/>
      <c r="AP69" s="6"/>
      <c r="AQ69" s="6"/>
      <c r="AR69" s="6"/>
      <c r="AS69" s="6"/>
      <c r="AT69" s="6"/>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row>
    <row r="70" spans="1:105" ht="12" customHeight="1" x14ac:dyDescent="0.25">
      <c r="A70" s="46"/>
      <c r="B70" s="47"/>
      <c r="C70" s="48"/>
      <c r="D70" s="48"/>
      <c r="E70" s="48"/>
      <c r="F70" s="48"/>
      <c r="G70" s="48"/>
      <c r="H70" s="48"/>
      <c r="I70" s="47"/>
      <c r="J70" s="48"/>
      <c r="K70" s="48"/>
      <c r="L70" s="47"/>
      <c r="M70" s="48"/>
      <c r="N70" s="48"/>
      <c r="O70" s="47"/>
      <c r="P70" s="48"/>
      <c r="Q70" s="211"/>
      <c r="R70" s="211"/>
      <c r="S70" s="211"/>
      <c r="T70" s="47"/>
      <c r="U70" s="48"/>
      <c r="V70" s="47"/>
      <c r="W70" s="48"/>
      <c r="X70" s="48"/>
      <c r="Y70" s="47"/>
      <c r="Z70" s="48"/>
      <c r="AA70" s="48"/>
      <c r="AB70" s="47"/>
      <c r="AC70" s="48"/>
      <c r="AD70" s="48"/>
      <c r="AE70" s="47"/>
      <c r="AF70" s="48"/>
      <c r="AG70" s="48"/>
      <c r="AH70" s="47"/>
      <c r="AI70" s="48"/>
      <c r="AJ70" s="48"/>
      <c r="AK70" s="49"/>
      <c r="AL70" s="13"/>
      <c r="AM70" s="6"/>
      <c r="AN70" s="6"/>
      <c r="AO70" s="6"/>
      <c r="AP70" s="6"/>
      <c r="AQ70" s="6"/>
      <c r="AR70" s="6"/>
      <c r="AS70" s="6"/>
      <c r="AT70" s="6"/>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row>
    <row r="71" spans="1:105" ht="12" customHeight="1" x14ac:dyDescent="0.25">
      <c r="A71" s="46"/>
      <c r="B71" s="47"/>
      <c r="C71" s="48"/>
      <c r="D71" s="48"/>
      <c r="E71" s="48"/>
      <c r="F71" s="48"/>
      <c r="G71" s="48"/>
      <c r="H71" s="48"/>
      <c r="I71" s="47"/>
      <c r="J71" s="48"/>
      <c r="K71" s="48"/>
      <c r="L71" s="47"/>
      <c r="M71" s="48"/>
      <c r="N71" s="48"/>
      <c r="O71" s="47"/>
      <c r="P71" s="48"/>
      <c r="Q71" s="48"/>
      <c r="R71" s="48"/>
      <c r="S71" s="48"/>
      <c r="T71" s="47"/>
      <c r="U71" s="48"/>
      <c r="V71" s="47"/>
      <c r="W71" s="48"/>
      <c r="X71" s="48"/>
      <c r="Y71" s="47"/>
      <c r="Z71" s="48"/>
      <c r="AA71" s="48"/>
      <c r="AB71" s="47"/>
      <c r="AC71" s="48"/>
      <c r="AD71" s="48"/>
      <c r="AE71" s="47"/>
      <c r="AF71" s="48"/>
      <c r="AG71" s="48"/>
      <c r="AH71" s="47"/>
      <c r="AI71" s="48"/>
      <c r="AJ71" s="48"/>
      <c r="AK71" s="49"/>
      <c r="AL71" s="13"/>
      <c r="AM71" s="6"/>
      <c r="AN71" s="6"/>
      <c r="AO71" s="6"/>
      <c r="AP71" s="6"/>
      <c r="AQ71" s="6"/>
      <c r="AR71" s="6"/>
      <c r="AS71" s="6"/>
      <c r="AT71" s="6"/>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row>
    <row r="72" spans="1:105" ht="12" customHeight="1" x14ac:dyDescent="0.25">
      <c r="A72" s="46">
        <v>14</v>
      </c>
      <c r="B72" s="47"/>
      <c r="C72" s="48"/>
      <c r="D72" s="211" t="s">
        <v>69</v>
      </c>
      <c r="E72" s="211"/>
      <c r="F72" s="211"/>
      <c r="G72" s="211"/>
      <c r="H72" s="211"/>
      <c r="I72" s="47"/>
      <c r="J72" s="48"/>
      <c r="K72" s="75" t="s">
        <v>20</v>
      </c>
      <c r="L72" s="47"/>
      <c r="M72" s="48"/>
      <c r="N72" s="75" t="s">
        <v>70</v>
      </c>
      <c r="O72" s="47"/>
      <c r="P72" s="48"/>
      <c r="Q72" s="211" t="s">
        <v>78</v>
      </c>
      <c r="R72" s="211"/>
      <c r="S72" s="211"/>
      <c r="T72" s="47"/>
      <c r="U72" s="48"/>
      <c r="V72" s="47"/>
      <c r="W72" s="48"/>
      <c r="X72" s="75" t="s">
        <v>28</v>
      </c>
      <c r="Y72" s="47"/>
      <c r="Z72" s="48"/>
      <c r="AA72" s="75" t="s">
        <v>71</v>
      </c>
      <c r="AB72" s="47"/>
      <c r="AC72" s="48"/>
      <c r="AD72" s="10">
        <v>1232537000</v>
      </c>
      <c r="AE72" s="47"/>
      <c r="AF72" s="48"/>
      <c r="AG72" s="77" t="s">
        <v>73</v>
      </c>
      <c r="AH72" s="47"/>
      <c r="AI72" s="48"/>
      <c r="AJ72" s="48"/>
      <c r="AK72" s="49"/>
      <c r="AL72" s="13"/>
      <c r="AM72" s="6"/>
      <c r="AN72" s="6"/>
      <c r="AO72" s="6"/>
      <c r="AP72" s="6"/>
      <c r="AQ72" s="6"/>
      <c r="AR72" s="6"/>
      <c r="AS72" s="6"/>
      <c r="AT72" s="6"/>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row>
    <row r="73" spans="1:105" ht="12" customHeight="1" x14ac:dyDescent="0.25">
      <c r="A73" s="46"/>
      <c r="B73" s="47"/>
      <c r="C73" s="48"/>
      <c r="D73" s="211"/>
      <c r="E73" s="211"/>
      <c r="F73" s="211"/>
      <c r="G73" s="211"/>
      <c r="H73" s="211"/>
      <c r="I73" s="47"/>
      <c r="J73" s="48"/>
      <c r="K73" s="48"/>
      <c r="L73" s="47"/>
      <c r="M73" s="48"/>
      <c r="N73" s="48"/>
      <c r="O73" s="47"/>
      <c r="P73" s="48"/>
      <c r="Q73" s="211"/>
      <c r="R73" s="211"/>
      <c r="S73" s="211"/>
      <c r="T73" s="47"/>
      <c r="U73" s="48"/>
      <c r="V73" s="47"/>
      <c r="W73" s="48"/>
      <c r="X73" s="48"/>
      <c r="Y73" s="47"/>
      <c r="Z73" s="48"/>
      <c r="AA73" s="77" t="s">
        <v>72</v>
      </c>
      <c r="AB73" s="47"/>
      <c r="AC73" s="48"/>
      <c r="AD73" s="48"/>
      <c r="AE73" s="47"/>
      <c r="AF73" s="48"/>
      <c r="AG73" s="48"/>
      <c r="AH73" s="47"/>
      <c r="AI73" s="48"/>
      <c r="AJ73" s="48"/>
      <c r="AK73" s="49"/>
      <c r="AL73" s="13"/>
      <c r="AM73" s="6"/>
      <c r="AN73" s="6"/>
      <c r="AO73" s="6"/>
      <c r="AP73" s="6"/>
      <c r="AQ73" s="6"/>
      <c r="AR73" s="6"/>
      <c r="AS73" s="6"/>
      <c r="AT73" s="6"/>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row>
    <row r="74" spans="1:105" ht="12" customHeight="1" x14ac:dyDescent="0.25">
      <c r="A74" s="46"/>
      <c r="B74" s="47"/>
      <c r="C74" s="48"/>
      <c r="D74" s="48"/>
      <c r="E74" s="48"/>
      <c r="F74" s="48"/>
      <c r="G74" s="48"/>
      <c r="H74" s="48"/>
      <c r="I74" s="47"/>
      <c r="J74" s="48"/>
      <c r="K74" s="48"/>
      <c r="L74" s="47"/>
      <c r="M74" s="48"/>
      <c r="N74" s="48"/>
      <c r="O74" s="47"/>
      <c r="P74" s="48"/>
      <c r="Q74" s="211"/>
      <c r="R74" s="211"/>
      <c r="S74" s="211"/>
      <c r="T74" s="47"/>
      <c r="U74" s="48"/>
      <c r="V74" s="47"/>
      <c r="W74" s="48"/>
      <c r="X74" s="48"/>
      <c r="Y74" s="47"/>
      <c r="Z74" s="48"/>
      <c r="AA74" s="48"/>
      <c r="AB74" s="47"/>
      <c r="AC74" s="48"/>
      <c r="AD74" s="48"/>
      <c r="AE74" s="47"/>
      <c r="AF74" s="48"/>
      <c r="AG74" s="48"/>
      <c r="AH74" s="47"/>
      <c r="AI74" s="48"/>
      <c r="AJ74" s="48"/>
      <c r="AK74" s="49"/>
      <c r="AL74" s="13"/>
      <c r="AM74" s="6"/>
      <c r="AN74" s="6"/>
      <c r="AO74" s="6"/>
      <c r="AP74" s="6"/>
      <c r="AQ74" s="6"/>
      <c r="AR74" s="6"/>
      <c r="AS74" s="6"/>
      <c r="AT74" s="6"/>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row>
    <row r="75" spans="1:105" ht="12" customHeight="1" x14ac:dyDescent="0.25">
      <c r="A75" s="46"/>
      <c r="B75" s="47"/>
      <c r="C75" s="48"/>
      <c r="D75" s="48"/>
      <c r="E75" s="48"/>
      <c r="F75" s="48"/>
      <c r="G75" s="48"/>
      <c r="H75" s="48"/>
      <c r="I75" s="47"/>
      <c r="J75" s="48"/>
      <c r="K75" s="48"/>
      <c r="L75" s="47"/>
      <c r="M75" s="48"/>
      <c r="N75" s="48"/>
      <c r="O75" s="47"/>
      <c r="P75" s="48"/>
      <c r="Q75" s="211"/>
      <c r="R75" s="211"/>
      <c r="S75" s="211"/>
      <c r="T75" s="47"/>
      <c r="U75" s="48"/>
      <c r="V75" s="47"/>
      <c r="W75" s="48"/>
      <c r="X75" s="48"/>
      <c r="Y75" s="47"/>
      <c r="Z75" s="48"/>
      <c r="AA75" s="48"/>
      <c r="AB75" s="47"/>
      <c r="AC75" s="48"/>
      <c r="AD75" s="48"/>
      <c r="AE75" s="47"/>
      <c r="AF75" s="48"/>
      <c r="AG75" s="48"/>
      <c r="AH75" s="47"/>
      <c r="AI75" s="48"/>
      <c r="AJ75" s="48"/>
      <c r="AK75" s="49"/>
      <c r="AL75" s="13"/>
      <c r="AM75" s="6"/>
      <c r="AN75" s="6"/>
      <c r="AO75" s="6"/>
      <c r="AP75" s="6"/>
      <c r="AQ75" s="6"/>
      <c r="AR75" s="6"/>
      <c r="AS75" s="6"/>
      <c r="AT75" s="6"/>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row>
    <row r="76" spans="1:105" ht="12" customHeight="1" x14ac:dyDescent="0.25">
      <c r="A76" s="46"/>
      <c r="B76" s="47"/>
      <c r="C76" s="48"/>
      <c r="D76" s="48"/>
      <c r="E76" s="48"/>
      <c r="F76" s="48"/>
      <c r="G76" s="48"/>
      <c r="H76" s="48"/>
      <c r="I76" s="47"/>
      <c r="J76" s="48"/>
      <c r="K76" s="48"/>
      <c r="L76" s="47"/>
      <c r="M76" s="48"/>
      <c r="N76" s="48"/>
      <c r="O76" s="47"/>
      <c r="P76" s="48"/>
      <c r="Q76" s="48"/>
      <c r="R76" s="48"/>
      <c r="S76" s="48"/>
      <c r="T76" s="47"/>
      <c r="U76" s="48"/>
      <c r="V76" s="47"/>
      <c r="W76" s="48"/>
      <c r="X76" s="48"/>
      <c r="Y76" s="47"/>
      <c r="Z76" s="48"/>
      <c r="AA76" s="48"/>
      <c r="AB76" s="47"/>
      <c r="AC76" s="48"/>
      <c r="AD76" s="48"/>
      <c r="AE76" s="47"/>
      <c r="AF76" s="48"/>
      <c r="AG76" s="48"/>
      <c r="AH76" s="47"/>
      <c r="AI76" s="48"/>
      <c r="AJ76" s="48"/>
      <c r="AK76" s="49"/>
      <c r="AL76" s="13"/>
      <c r="AM76" s="6"/>
      <c r="AN76" s="6"/>
      <c r="AO76" s="6"/>
      <c r="AP76" s="6"/>
      <c r="AQ76" s="6"/>
      <c r="AR76" s="6"/>
      <c r="AS76" s="6"/>
      <c r="AT76" s="6"/>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row>
    <row r="77" spans="1:105" ht="12" customHeight="1" x14ac:dyDescent="0.25">
      <c r="A77" s="46">
        <v>15</v>
      </c>
      <c r="B77" s="47"/>
      <c r="C77" s="48"/>
      <c r="D77" s="211" t="s">
        <v>74</v>
      </c>
      <c r="E77" s="211"/>
      <c r="F77" s="211"/>
      <c r="G77" s="211"/>
      <c r="H77" s="211"/>
      <c r="I77" s="47"/>
      <c r="J77" s="48"/>
      <c r="K77" s="75" t="s">
        <v>20</v>
      </c>
      <c r="L77" s="47"/>
      <c r="M77" s="48"/>
      <c r="N77" s="211" t="s">
        <v>75</v>
      </c>
      <c r="O77" s="47"/>
      <c r="P77" s="48"/>
      <c r="Q77" s="211" t="s">
        <v>58</v>
      </c>
      <c r="R77" s="211"/>
      <c r="S77" s="211"/>
      <c r="T77" s="47"/>
      <c r="U77" s="48"/>
      <c r="V77" s="47"/>
      <c r="W77" s="48"/>
      <c r="X77" s="75" t="s">
        <v>22</v>
      </c>
      <c r="Y77" s="47"/>
      <c r="Z77" s="48"/>
      <c r="AA77" s="76" t="s">
        <v>76</v>
      </c>
      <c r="AB77" s="47"/>
      <c r="AC77" s="48"/>
      <c r="AD77" s="10">
        <v>4072615200</v>
      </c>
      <c r="AE77" s="47"/>
      <c r="AF77" s="48"/>
      <c r="AG77" s="77" t="s">
        <v>77</v>
      </c>
      <c r="AH77" s="47"/>
      <c r="AI77" s="48"/>
      <c r="AJ77" s="48"/>
      <c r="AK77" s="49"/>
      <c r="AL77" s="13"/>
      <c r="AM77" s="6"/>
      <c r="AN77" s="6"/>
      <c r="AO77" s="6"/>
      <c r="AP77" s="6"/>
      <c r="AQ77" s="6"/>
      <c r="AR77" s="6"/>
      <c r="AS77" s="6"/>
      <c r="AT77" s="6"/>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row>
    <row r="78" spans="1:105" ht="12" customHeight="1" x14ac:dyDescent="0.25">
      <c r="A78" s="46"/>
      <c r="B78" s="47"/>
      <c r="C78" s="48"/>
      <c r="D78" s="211"/>
      <c r="E78" s="211"/>
      <c r="F78" s="211"/>
      <c r="G78" s="211"/>
      <c r="H78" s="211"/>
      <c r="I78" s="47"/>
      <c r="J78" s="48"/>
      <c r="K78" s="48"/>
      <c r="L78" s="47"/>
      <c r="M78" s="48"/>
      <c r="N78" s="277"/>
      <c r="O78" s="47"/>
      <c r="P78" s="48"/>
      <c r="Q78" s="211"/>
      <c r="R78" s="211"/>
      <c r="S78" s="211"/>
      <c r="T78" s="47"/>
      <c r="U78" s="48"/>
      <c r="V78" s="47"/>
      <c r="W78" s="48"/>
      <c r="X78" s="48"/>
      <c r="Y78" s="47"/>
      <c r="Z78" s="48"/>
      <c r="AA78" s="77" t="s">
        <v>60</v>
      </c>
      <c r="AB78" s="47"/>
      <c r="AC78" s="48"/>
      <c r="AD78" s="48"/>
      <c r="AE78" s="47"/>
      <c r="AF78" s="48"/>
      <c r="AG78" s="48"/>
      <c r="AH78" s="47"/>
      <c r="AI78" s="48"/>
      <c r="AJ78" s="48"/>
      <c r="AK78" s="49"/>
      <c r="AL78" s="13"/>
      <c r="AM78" s="6"/>
      <c r="AN78" s="6"/>
      <c r="AO78" s="6"/>
      <c r="AP78" s="6"/>
      <c r="AQ78" s="6"/>
      <c r="AR78" s="6"/>
      <c r="AS78" s="6"/>
      <c r="AT78" s="6"/>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row>
    <row r="79" spans="1:105" ht="12" customHeight="1" x14ac:dyDescent="0.25">
      <c r="A79" s="46"/>
      <c r="B79" s="47"/>
      <c r="C79" s="48"/>
      <c r="D79" s="211"/>
      <c r="E79" s="211"/>
      <c r="F79" s="211"/>
      <c r="G79" s="211"/>
      <c r="H79" s="211"/>
      <c r="I79" s="47"/>
      <c r="J79" s="48"/>
      <c r="K79" s="48"/>
      <c r="L79" s="47"/>
      <c r="M79" s="48"/>
      <c r="N79" s="277"/>
      <c r="O79" s="47"/>
      <c r="P79" s="48"/>
      <c r="Q79" s="211"/>
      <c r="R79" s="211"/>
      <c r="S79" s="211"/>
      <c r="T79" s="47"/>
      <c r="U79" s="48"/>
      <c r="V79" s="47"/>
      <c r="W79" s="48"/>
      <c r="X79" s="48"/>
      <c r="Y79" s="47"/>
      <c r="Z79" s="48"/>
      <c r="AA79" s="48"/>
      <c r="AB79" s="47"/>
      <c r="AC79" s="48"/>
      <c r="AD79" s="48"/>
      <c r="AE79" s="47"/>
      <c r="AF79" s="48"/>
      <c r="AG79" s="48"/>
      <c r="AH79" s="47"/>
      <c r="AI79" s="48"/>
      <c r="AJ79" s="48"/>
      <c r="AK79" s="49"/>
      <c r="AL79" s="13"/>
      <c r="AM79" s="6"/>
      <c r="AN79" s="6"/>
      <c r="AO79" s="6"/>
      <c r="AP79" s="6"/>
      <c r="AQ79" s="6"/>
      <c r="AR79" s="6"/>
      <c r="AS79" s="6"/>
      <c r="AT79" s="6"/>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row>
    <row r="80" spans="1:105" ht="12" customHeight="1" x14ac:dyDescent="0.25">
      <c r="A80" s="46"/>
      <c r="B80" s="47"/>
      <c r="C80" s="48"/>
      <c r="D80" s="211"/>
      <c r="E80" s="211"/>
      <c r="F80" s="211"/>
      <c r="G80" s="211"/>
      <c r="H80" s="211"/>
      <c r="I80" s="47"/>
      <c r="J80" s="48"/>
      <c r="K80" s="48"/>
      <c r="L80" s="47"/>
      <c r="M80" s="48"/>
      <c r="N80" s="277"/>
      <c r="O80" s="47"/>
      <c r="P80" s="48"/>
      <c r="Q80" s="48"/>
      <c r="R80" s="48"/>
      <c r="S80" s="48"/>
      <c r="T80" s="47"/>
      <c r="U80" s="48"/>
      <c r="V80" s="47"/>
      <c r="W80" s="48"/>
      <c r="X80" s="48"/>
      <c r="Y80" s="47"/>
      <c r="Z80" s="48"/>
      <c r="AA80" s="48"/>
      <c r="AB80" s="47"/>
      <c r="AC80" s="48"/>
      <c r="AD80" s="48"/>
      <c r="AE80" s="47"/>
      <c r="AF80" s="48"/>
      <c r="AG80" s="48"/>
      <c r="AH80" s="47"/>
      <c r="AI80" s="48"/>
      <c r="AJ80" s="48"/>
      <c r="AK80" s="49"/>
      <c r="AL80" s="13"/>
      <c r="AM80" s="6"/>
      <c r="AN80" s="6"/>
      <c r="AO80" s="6"/>
      <c r="AP80" s="6"/>
      <c r="AQ80" s="6"/>
      <c r="AR80" s="6"/>
      <c r="AS80" s="6"/>
      <c r="AT80" s="6"/>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row>
    <row r="81" spans="1:105" ht="12" customHeight="1" x14ac:dyDescent="0.25">
      <c r="A81" s="46"/>
      <c r="B81" s="47"/>
      <c r="C81" s="48"/>
      <c r="D81" s="211"/>
      <c r="E81" s="211"/>
      <c r="F81" s="211"/>
      <c r="G81" s="211"/>
      <c r="H81" s="211"/>
      <c r="I81" s="47"/>
      <c r="J81" s="48"/>
      <c r="K81" s="48"/>
      <c r="L81" s="47"/>
      <c r="M81" s="48"/>
      <c r="N81" s="48"/>
      <c r="O81" s="47"/>
      <c r="P81" s="48"/>
      <c r="Q81" s="48"/>
      <c r="R81" s="48"/>
      <c r="S81" s="48"/>
      <c r="T81" s="47"/>
      <c r="U81" s="48"/>
      <c r="V81" s="47"/>
      <c r="W81" s="48"/>
      <c r="X81" s="48"/>
      <c r="Y81" s="47"/>
      <c r="Z81" s="48"/>
      <c r="AA81" s="48"/>
      <c r="AB81" s="47"/>
      <c r="AC81" s="48"/>
      <c r="AD81" s="48"/>
      <c r="AE81" s="47"/>
      <c r="AF81" s="48"/>
      <c r="AG81" s="48"/>
      <c r="AH81" s="47"/>
      <c r="AI81" s="48"/>
      <c r="AJ81" s="48"/>
      <c r="AK81" s="49"/>
      <c r="AL81" s="13"/>
      <c r="AM81" s="6"/>
      <c r="AN81" s="6"/>
      <c r="AO81" s="6"/>
      <c r="AP81" s="6"/>
      <c r="AQ81" s="6"/>
      <c r="AR81" s="6"/>
      <c r="AS81" s="6"/>
      <c r="AT81" s="6"/>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row>
    <row r="82" spans="1:105" ht="12" customHeight="1" x14ac:dyDescent="0.25">
      <c r="A82" s="46"/>
      <c r="B82" s="47"/>
      <c r="C82" s="48"/>
      <c r="D82" s="211"/>
      <c r="E82" s="211"/>
      <c r="F82" s="211"/>
      <c r="G82" s="211"/>
      <c r="H82" s="211"/>
      <c r="I82" s="47"/>
      <c r="J82" s="48"/>
      <c r="K82" s="48"/>
      <c r="L82" s="47"/>
      <c r="M82" s="48"/>
      <c r="N82" s="48"/>
      <c r="O82" s="47"/>
      <c r="P82" s="48"/>
      <c r="Q82" s="48"/>
      <c r="R82" s="48"/>
      <c r="S82" s="48"/>
      <c r="T82" s="47"/>
      <c r="U82" s="48"/>
      <c r="V82" s="47"/>
      <c r="W82" s="48"/>
      <c r="X82" s="48"/>
      <c r="Y82" s="47"/>
      <c r="Z82" s="48"/>
      <c r="AA82" s="48"/>
      <c r="AB82" s="47"/>
      <c r="AC82" s="48"/>
      <c r="AD82" s="48"/>
      <c r="AE82" s="47"/>
      <c r="AF82" s="48"/>
      <c r="AG82" s="48"/>
      <c r="AH82" s="47"/>
      <c r="AI82" s="48"/>
      <c r="AJ82" s="48"/>
      <c r="AK82" s="49"/>
      <c r="AL82" s="13"/>
      <c r="AM82" s="6"/>
      <c r="AN82" s="6"/>
      <c r="AO82" s="6"/>
      <c r="AP82" s="6"/>
      <c r="AQ82" s="6"/>
      <c r="AR82" s="6"/>
      <c r="AS82" s="6"/>
      <c r="AT82" s="6"/>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row>
    <row r="83" spans="1:105" ht="12" customHeight="1" x14ac:dyDescent="0.25">
      <c r="A83" s="46"/>
      <c r="B83" s="47"/>
      <c r="C83" s="48"/>
      <c r="D83" s="48"/>
      <c r="E83" s="48"/>
      <c r="F83" s="48"/>
      <c r="G83" s="48"/>
      <c r="H83" s="48"/>
      <c r="I83" s="47"/>
      <c r="J83" s="48"/>
      <c r="K83" s="48"/>
      <c r="L83" s="47"/>
      <c r="M83" s="48"/>
      <c r="N83" s="48"/>
      <c r="O83" s="47"/>
      <c r="P83" s="48"/>
      <c r="Q83" s="48"/>
      <c r="R83" s="48"/>
      <c r="S83" s="48"/>
      <c r="T83" s="47"/>
      <c r="U83" s="48"/>
      <c r="V83" s="47"/>
      <c r="W83" s="48"/>
      <c r="X83" s="48"/>
      <c r="Y83" s="47"/>
      <c r="Z83" s="48"/>
      <c r="AA83" s="48"/>
      <c r="AB83" s="47"/>
      <c r="AC83" s="48"/>
      <c r="AD83" s="48"/>
      <c r="AE83" s="47"/>
      <c r="AF83" s="48"/>
      <c r="AG83" s="48"/>
      <c r="AH83" s="47"/>
      <c r="AI83" s="48"/>
      <c r="AJ83" s="48"/>
      <c r="AK83" s="49"/>
      <c r="AL83" s="13"/>
      <c r="AM83" s="6"/>
      <c r="AN83" s="6"/>
      <c r="AO83" s="6"/>
      <c r="AP83" s="6"/>
      <c r="AQ83" s="6"/>
      <c r="AR83" s="6"/>
      <c r="AS83" s="6"/>
      <c r="AT83" s="6"/>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row>
    <row r="84" spans="1:105" ht="12" customHeight="1" x14ac:dyDescent="0.25">
      <c r="A84" s="46">
        <v>16</v>
      </c>
      <c r="B84" s="47"/>
      <c r="C84" s="48"/>
      <c r="D84" s="75" t="s">
        <v>79</v>
      </c>
      <c r="E84" s="48"/>
      <c r="F84" s="48"/>
      <c r="G84" s="48"/>
      <c r="H84" s="48"/>
      <c r="I84" s="47"/>
      <c r="J84" s="48"/>
      <c r="K84" s="75" t="s">
        <v>20</v>
      </c>
      <c r="L84" s="47"/>
      <c r="M84" s="48"/>
      <c r="N84" s="75" t="s">
        <v>80</v>
      </c>
      <c r="O84" s="47"/>
      <c r="P84" s="48"/>
      <c r="Q84" s="211" t="s">
        <v>81</v>
      </c>
      <c r="R84" s="211"/>
      <c r="S84" s="211"/>
      <c r="T84" s="47"/>
      <c r="U84" s="48"/>
      <c r="V84" s="47"/>
      <c r="W84" s="48"/>
      <c r="X84" s="75" t="s">
        <v>25</v>
      </c>
      <c r="Y84" s="47"/>
      <c r="Z84" s="48"/>
      <c r="AA84" s="78" t="s">
        <v>82</v>
      </c>
      <c r="AB84" s="47"/>
      <c r="AC84" s="48"/>
      <c r="AD84" s="10">
        <v>978900000</v>
      </c>
      <c r="AE84" s="47"/>
      <c r="AF84" s="48"/>
      <c r="AG84" s="77" t="s">
        <v>88</v>
      </c>
      <c r="AH84" s="47"/>
      <c r="AI84" s="48"/>
      <c r="AJ84" s="48"/>
      <c r="AK84" s="49"/>
      <c r="AL84" s="13"/>
      <c r="AM84" s="6"/>
      <c r="AN84" s="6"/>
      <c r="AO84" s="6"/>
      <c r="AP84" s="6"/>
      <c r="AQ84" s="6"/>
      <c r="AR84" s="6"/>
      <c r="AS84" s="6"/>
      <c r="AT84" s="6"/>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row>
    <row r="85" spans="1:105" ht="12" customHeight="1" x14ac:dyDescent="0.25">
      <c r="A85" s="46"/>
      <c r="B85" s="47"/>
      <c r="C85" s="48"/>
      <c r="D85" s="48"/>
      <c r="E85" s="48"/>
      <c r="F85" s="48"/>
      <c r="G85" s="48"/>
      <c r="H85" s="48"/>
      <c r="I85" s="47"/>
      <c r="J85" s="48"/>
      <c r="K85" s="48"/>
      <c r="L85" s="47"/>
      <c r="M85" s="48"/>
      <c r="N85" s="48"/>
      <c r="O85" s="47"/>
      <c r="P85" s="48"/>
      <c r="Q85" s="211"/>
      <c r="R85" s="211"/>
      <c r="S85" s="211"/>
      <c r="T85" s="47"/>
      <c r="U85" s="48"/>
      <c r="V85" s="47"/>
      <c r="W85" s="48"/>
      <c r="X85" s="48"/>
      <c r="Y85" s="47"/>
      <c r="Z85" s="48"/>
      <c r="AA85" s="77" t="s">
        <v>83</v>
      </c>
      <c r="AB85" s="47"/>
      <c r="AC85" s="48"/>
      <c r="AD85" s="48"/>
      <c r="AE85" s="47"/>
      <c r="AF85" s="48"/>
      <c r="AG85" s="48"/>
      <c r="AH85" s="47"/>
      <c r="AI85" s="48"/>
      <c r="AJ85" s="48"/>
      <c r="AK85" s="49"/>
      <c r="AL85" s="13"/>
      <c r="AM85" s="6"/>
      <c r="AN85" s="6"/>
      <c r="AO85" s="6"/>
      <c r="AP85" s="6"/>
      <c r="AQ85" s="6"/>
      <c r="AR85" s="6"/>
      <c r="AS85" s="6"/>
      <c r="AT85" s="6"/>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row>
    <row r="86" spans="1:105" ht="12" customHeight="1" x14ac:dyDescent="0.25">
      <c r="A86" s="46"/>
      <c r="B86" s="47"/>
      <c r="C86" s="48"/>
      <c r="D86" s="48"/>
      <c r="E86" s="48"/>
      <c r="F86" s="48"/>
      <c r="G86" s="48"/>
      <c r="H86" s="48"/>
      <c r="I86" s="47"/>
      <c r="J86" s="48"/>
      <c r="K86" s="48"/>
      <c r="L86" s="47"/>
      <c r="M86" s="48"/>
      <c r="N86" s="48"/>
      <c r="O86" s="47"/>
      <c r="P86" s="48"/>
      <c r="Q86" s="211"/>
      <c r="R86" s="211"/>
      <c r="S86" s="211"/>
      <c r="T86" s="47"/>
      <c r="U86" s="48"/>
      <c r="V86" s="47"/>
      <c r="W86" s="48"/>
      <c r="X86" s="48"/>
      <c r="Y86" s="47"/>
      <c r="Z86" s="48"/>
      <c r="AA86" s="48"/>
      <c r="AB86" s="47"/>
      <c r="AC86" s="48"/>
      <c r="AD86" s="48"/>
      <c r="AE86" s="47"/>
      <c r="AF86" s="48"/>
      <c r="AG86" s="48"/>
      <c r="AH86" s="47"/>
      <c r="AI86" s="48"/>
      <c r="AJ86" s="48"/>
      <c r="AK86" s="49"/>
      <c r="AL86" s="13"/>
      <c r="AM86" s="6"/>
      <c r="AN86" s="6"/>
      <c r="AO86" s="6"/>
      <c r="AP86" s="6"/>
      <c r="AQ86" s="6"/>
      <c r="AR86" s="6"/>
      <c r="AS86" s="6"/>
      <c r="AT86" s="6"/>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row>
    <row r="87" spans="1:105" ht="12" customHeight="1" x14ac:dyDescent="0.25">
      <c r="A87" s="46"/>
      <c r="B87" s="47"/>
      <c r="C87" s="48"/>
      <c r="D87" s="48"/>
      <c r="E87" s="48"/>
      <c r="F87" s="48"/>
      <c r="G87" s="48"/>
      <c r="H87" s="48"/>
      <c r="I87" s="47"/>
      <c r="J87" s="48"/>
      <c r="K87" s="48"/>
      <c r="L87" s="47"/>
      <c r="M87" s="48"/>
      <c r="N87" s="48"/>
      <c r="O87" s="47"/>
      <c r="P87" s="48"/>
      <c r="Q87" s="48"/>
      <c r="R87" s="48"/>
      <c r="S87" s="48"/>
      <c r="T87" s="47"/>
      <c r="U87" s="48"/>
      <c r="V87" s="47"/>
      <c r="W87" s="48"/>
      <c r="X87" s="48"/>
      <c r="Y87" s="47"/>
      <c r="Z87" s="48"/>
      <c r="AA87" s="48"/>
      <c r="AB87" s="47"/>
      <c r="AC87" s="48"/>
      <c r="AD87" s="48"/>
      <c r="AE87" s="47"/>
      <c r="AF87" s="48"/>
      <c r="AG87" s="48"/>
      <c r="AH87" s="47"/>
      <c r="AI87" s="48"/>
      <c r="AJ87" s="48"/>
      <c r="AK87" s="49"/>
      <c r="AL87" s="13"/>
      <c r="AM87" s="6"/>
      <c r="AN87" s="6"/>
      <c r="AO87" s="6"/>
      <c r="AP87" s="6"/>
      <c r="AQ87" s="6"/>
      <c r="AR87" s="6"/>
      <c r="AS87" s="6"/>
      <c r="AT87" s="6"/>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row>
    <row r="88" spans="1:105" ht="12" customHeight="1" x14ac:dyDescent="0.25">
      <c r="A88" s="46">
        <v>17</v>
      </c>
      <c r="B88" s="47"/>
      <c r="C88" s="48"/>
      <c r="D88" s="75" t="s">
        <v>84</v>
      </c>
      <c r="E88" s="48"/>
      <c r="F88" s="48"/>
      <c r="G88" s="48"/>
      <c r="H88" s="48"/>
      <c r="I88" s="47"/>
      <c r="J88" s="48"/>
      <c r="K88" s="48"/>
      <c r="L88" s="47"/>
      <c r="M88" s="48"/>
      <c r="N88" s="75" t="s">
        <v>80</v>
      </c>
      <c r="O88" s="47"/>
      <c r="P88" s="48"/>
      <c r="Q88" s="211" t="s">
        <v>81</v>
      </c>
      <c r="R88" s="211"/>
      <c r="S88" s="211"/>
      <c r="T88" s="47"/>
      <c r="U88" s="48"/>
      <c r="V88" s="47"/>
      <c r="W88" s="48"/>
      <c r="X88" s="75" t="s">
        <v>25</v>
      </c>
      <c r="Y88" s="47"/>
      <c r="Z88" s="48"/>
      <c r="AA88" s="78" t="s">
        <v>85</v>
      </c>
      <c r="AB88" s="47"/>
      <c r="AC88" s="48"/>
      <c r="AD88" s="10">
        <v>1504255250</v>
      </c>
      <c r="AE88" s="47"/>
      <c r="AF88" s="48"/>
      <c r="AG88" s="77" t="s">
        <v>87</v>
      </c>
      <c r="AH88" s="47"/>
      <c r="AI88" s="48"/>
      <c r="AJ88" s="48"/>
      <c r="AK88" s="49"/>
      <c r="AL88" s="13"/>
      <c r="AM88" s="6"/>
      <c r="AN88" s="6"/>
      <c r="AO88" s="6"/>
      <c r="AP88" s="6"/>
      <c r="AQ88" s="6"/>
      <c r="AR88" s="6"/>
      <c r="AS88" s="6"/>
      <c r="AT88" s="6"/>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row>
    <row r="89" spans="1:105" ht="12" customHeight="1" x14ac:dyDescent="0.25">
      <c r="A89" s="46"/>
      <c r="B89" s="47"/>
      <c r="C89" s="48"/>
      <c r="D89" s="48"/>
      <c r="E89" s="48"/>
      <c r="F89" s="48"/>
      <c r="G89" s="48"/>
      <c r="H89" s="48"/>
      <c r="I89" s="47"/>
      <c r="J89" s="48"/>
      <c r="K89" s="48"/>
      <c r="L89" s="47"/>
      <c r="M89" s="48"/>
      <c r="N89" s="48"/>
      <c r="O89" s="47"/>
      <c r="P89" s="48"/>
      <c r="Q89" s="211"/>
      <c r="R89" s="211"/>
      <c r="S89" s="211"/>
      <c r="T89" s="47"/>
      <c r="U89" s="48"/>
      <c r="V89" s="47"/>
      <c r="W89" s="48"/>
      <c r="X89" s="48"/>
      <c r="Y89" s="47"/>
      <c r="Z89" s="48"/>
      <c r="AA89" s="77" t="s">
        <v>86</v>
      </c>
      <c r="AB89" s="47"/>
      <c r="AC89" s="48"/>
      <c r="AD89" s="48"/>
      <c r="AE89" s="47"/>
      <c r="AF89" s="48"/>
      <c r="AG89" s="48"/>
      <c r="AH89" s="47"/>
      <c r="AI89" s="48"/>
      <c r="AJ89" s="48"/>
      <c r="AK89" s="49"/>
      <c r="AL89" s="13"/>
      <c r="AM89" s="6"/>
      <c r="AN89" s="6"/>
      <c r="AO89" s="6"/>
      <c r="AP89" s="6"/>
      <c r="AQ89" s="6"/>
      <c r="AR89" s="6"/>
      <c r="AS89" s="6"/>
      <c r="AT89" s="6"/>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row>
    <row r="90" spans="1:105" ht="12" customHeight="1" x14ac:dyDescent="0.25">
      <c r="A90" s="46"/>
      <c r="B90" s="47"/>
      <c r="C90" s="48"/>
      <c r="D90" s="48"/>
      <c r="E90" s="48"/>
      <c r="F90" s="48"/>
      <c r="G90" s="48"/>
      <c r="H90" s="48"/>
      <c r="I90" s="47"/>
      <c r="J90" s="48"/>
      <c r="K90" s="48"/>
      <c r="L90" s="47"/>
      <c r="M90" s="48"/>
      <c r="N90" s="48"/>
      <c r="O90" s="47"/>
      <c r="P90" s="48"/>
      <c r="Q90" s="211"/>
      <c r="R90" s="211"/>
      <c r="S90" s="211"/>
      <c r="T90" s="47"/>
      <c r="U90" s="48"/>
      <c r="V90" s="47"/>
      <c r="W90" s="48"/>
      <c r="X90" s="48"/>
      <c r="Y90" s="47"/>
      <c r="Z90" s="48"/>
      <c r="AA90" s="48"/>
      <c r="AB90" s="47"/>
      <c r="AC90" s="48"/>
      <c r="AD90" s="48"/>
      <c r="AE90" s="47"/>
      <c r="AF90" s="48"/>
      <c r="AG90" s="48"/>
      <c r="AH90" s="47"/>
      <c r="AI90" s="48"/>
      <c r="AJ90" s="48"/>
      <c r="AK90" s="49"/>
      <c r="AL90" s="13"/>
      <c r="AM90" s="6"/>
      <c r="AN90" s="6"/>
      <c r="AO90" s="6"/>
      <c r="AP90" s="6"/>
      <c r="AQ90" s="6"/>
      <c r="AR90" s="6"/>
      <c r="AS90" s="6"/>
      <c r="AT90" s="6"/>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row>
    <row r="91" spans="1:105" ht="12" customHeight="1" x14ac:dyDescent="0.25">
      <c r="A91" s="46"/>
      <c r="B91" s="47"/>
      <c r="C91" s="48"/>
      <c r="D91" s="48"/>
      <c r="E91" s="48"/>
      <c r="F91" s="48"/>
      <c r="G91" s="48"/>
      <c r="H91" s="48"/>
      <c r="I91" s="47"/>
      <c r="J91" s="48"/>
      <c r="K91" s="48"/>
      <c r="L91" s="47"/>
      <c r="M91" s="48"/>
      <c r="N91" s="48"/>
      <c r="O91" s="47"/>
      <c r="P91" s="48"/>
      <c r="Q91" s="48"/>
      <c r="R91" s="48"/>
      <c r="S91" s="48"/>
      <c r="T91" s="47"/>
      <c r="U91" s="48"/>
      <c r="V91" s="47"/>
      <c r="W91" s="48"/>
      <c r="X91" s="48"/>
      <c r="Y91" s="47"/>
      <c r="Z91" s="48"/>
      <c r="AA91" s="48"/>
      <c r="AB91" s="47"/>
      <c r="AC91" s="48"/>
      <c r="AD91" s="48"/>
      <c r="AE91" s="47"/>
      <c r="AF91" s="48"/>
      <c r="AG91" s="48"/>
      <c r="AH91" s="47"/>
      <c r="AI91" s="48"/>
      <c r="AJ91" s="48"/>
      <c r="AK91" s="49"/>
      <c r="AL91" s="13"/>
      <c r="AM91" s="6"/>
      <c r="AN91" s="6"/>
      <c r="AO91" s="6"/>
      <c r="AP91" s="6"/>
      <c r="AQ91" s="6"/>
      <c r="AR91" s="6"/>
      <c r="AS91" s="6"/>
      <c r="AT91" s="6"/>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row>
    <row r="92" spans="1:105" ht="12" customHeight="1" x14ac:dyDescent="0.25">
      <c r="A92" s="22">
        <v>18</v>
      </c>
      <c r="B92" s="57"/>
      <c r="C92" s="39"/>
      <c r="D92" s="208" t="s">
        <v>30</v>
      </c>
      <c r="E92" s="209"/>
      <c r="F92" s="209"/>
      <c r="G92" s="209"/>
      <c r="H92" s="209"/>
      <c r="I92" s="57"/>
      <c r="J92" s="39"/>
      <c r="K92" s="56" t="s">
        <v>20</v>
      </c>
      <c r="L92" s="57"/>
      <c r="M92" s="39"/>
      <c r="N92" s="39" t="s">
        <v>31</v>
      </c>
      <c r="O92" s="57"/>
      <c r="P92" s="39"/>
      <c r="Q92" s="234" t="s">
        <v>32</v>
      </c>
      <c r="R92" s="235"/>
      <c r="S92" s="235"/>
      <c r="T92" s="57"/>
      <c r="U92" s="39"/>
      <c r="V92" s="57"/>
      <c r="W92" s="39"/>
      <c r="X92" s="39" t="s">
        <v>33</v>
      </c>
      <c r="Y92" s="57"/>
      <c r="Z92" s="39"/>
      <c r="AA92" s="39" t="s">
        <v>34</v>
      </c>
      <c r="AB92" s="11"/>
      <c r="AC92" s="10"/>
      <c r="AD92" s="10">
        <v>19286604000</v>
      </c>
      <c r="AE92" s="11"/>
      <c r="AF92" s="10"/>
      <c r="AG92" s="58">
        <v>45702</v>
      </c>
      <c r="AH92" s="11"/>
      <c r="AI92" s="10"/>
      <c r="AJ92" s="58"/>
      <c r="AK92" s="9"/>
      <c r="AL92" s="6"/>
      <c r="AM92" s="19"/>
      <c r="AN92" s="6"/>
      <c r="AO92" s="19"/>
      <c r="AP92" s="19"/>
      <c r="AQ92" s="18"/>
      <c r="AR92" s="18"/>
      <c r="AS92" s="18"/>
      <c r="AT92" s="18"/>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row>
    <row r="93" spans="1:105" ht="12" customHeight="1" x14ac:dyDescent="0.25">
      <c r="A93" s="59"/>
      <c r="B93" s="57"/>
      <c r="C93" s="39"/>
      <c r="D93" s="209"/>
      <c r="E93" s="209"/>
      <c r="F93" s="209"/>
      <c r="G93" s="209"/>
      <c r="H93" s="209"/>
      <c r="I93" s="57"/>
      <c r="J93" s="39"/>
      <c r="K93" s="39"/>
      <c r="L93" s="57"/>
      <c r="M93" s="39"/>
      <c r="N93" s="39" t="s">
        <v>23</v>
      </c>
      <c r="O93" s="57"/>
      <c r="P93" s="39"/>
      <c r="Q93" s="235"/>
      <c r="R93" s="235"/>
      <c r="S93" s="235"/>
      <c r="T93" s="57"/>
      <c r="U93" s="39"/>
      <c r="V93" s="57"/>
      <c r="W93" s="39"/>
      <c r="X93" s="39"/>
      <c r="Y93" s="57"/>
      <c r="Z93" s="39"/>
      <c r="AA93" s="40" t="s">
        <v>35</v>
      </c>
      <c r="AB93" s="11"/>
      <c r="AC93" s="10"/>
      <c r="AD93" s="10"/>
      <c r="AE93" s="11"/>
      <c r="AF93" s="10"/>
      <c r="AG93" s="16"/>
      <c r="AH93" s="11"/>
      <c r="AI93" s="10"/>
      <c r="AJ93" s="16"/>
      <c r="AK93" s="9"/>
      <c r="AL93" s="6"/>
      <c r="AM93" s="19"/>
      <c r="AN93" s="6"/>
      <c r="AO93" s="19"/>
      <c r="AP93" s="19"/>
      <c r="AQ93" s="18"/>
      <c r="AR93" s="18"/>
      <c r="AS93" s="18"/>
      <c r="AT93" s="18"/>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row>
    <row r="94" spans="1:105" ht="12" customHeight="1" x14ac:dyDescent="0.25">
      <c r="A94" s="60"/>
      <c r="B94" s="14"/>
      <c r="C94" s="15"/>
      <c r="D94" s="210"/>
      <c r="E94" s="210"/>
      <c r="F94" s="210"/>
      <c r="G94" s="210"/>
      <c r="H94" s="210"/>
      <c r="I94" s="14"/>
      <c r="J94" s="15"/>
      <c r="K94" s="15"/>
      <c r="L94" s="14"/>
      <c r="M94" s="15"/>
      <c r="N94" s="15"/>
      <c r="O94" s="14"/>
      <c r="P94" s="15"/>
      <c r="Q94" s="235"/>
      <c r="R94" s="235"/>
      <c r="S94" s="235"/>
      <c r="T94" s="14"/>
      <c r="U94" s="15"/>
      <c r="V94" s="14"/>
      <c r="W94" s="15"/>
      <c r="X94" s="15"/>
      <c r="Y94" s="14"/>
      <c r="Z94" s="15"/>
      <c r="AA94" s="15"/>
      <c r="AB94" s="21"/>
      <c r="AC94" s="20"/>
      <c r="AD94" s="20"/>
      <c r="AE94" s="21"/>
      <c r="AF94" s="20"/>
      <c r="AG94" s="61"/>
      <c r="AH94" s="21"/>
      <c r="AI94" s="20"/>
      <c r="AJ94" s="61"/>
      <c r="AK94" s="17"/>
      <c r="AL94" s="19"/>
      <c r="AM94" s="19"/>
      <c r="AN94" s="6"/>
      <c r="AO94" s="19"/>
      <c r="AP94" s="19"/>
      <c r="AQ94" s="18"/>
      <c r="AR94" s="18"/>
      <c r="AS94" s="18"/>
      <c r="AT94" s="18"/>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row>
    <row r="95" spans="1:105" ht="12" customHeight="1" x14ac:dyDescent="0.25">
      <c r="A95" s="60"/>
      <c r="B95" s="14"/>
      <c r="C95" s="15"/>
      <c r="D95" s="210"/>
      <c r="E95" s="210"/>
      <c r="F95" s="210"/>
      <c r="G95" s="210"/>
      <c r="H95" s="210"/>
      <c r="I95" s="14"/>
      <c r="J95" s="15"/>
      <c r="K95" s="15"/>
      <c r="L95" s="14"/>
      <c r="M95" s="15"/>
      <c r="N95" s="15"/>
      <c r="O95" s="14"/>
      <c r="P95" s="15"/>
      <c r="Q95" s="235"/>
      <c r="R95" s="235"/>
      <c r="S95" s="235"/>
      <c r="T95" s="14"/>
      <c r="U95" s="15"/>
      <c r="V95" s="14"/>
      <c r="W95" s="15"/>
      <c r="X95" s="15"/>
      <c r="Y95" s="14"/>
      <c r="Z95" s="15"/>
      <c r="AA95" s="15"/>
      <c r="AB95" s="21"/>
      <c r="AC95" s="20"/>
      <c r="AD95" s="20"/>
      <c r="AE95" s="21"/>
      <c r="AF95" s="20"/>
      <c r="AG95" s="61"/>
      <c r="AH95" s="21"/>
      <c r="AI95" s="20"/>
      <c r="AJ95" s="61"/>
      <c r="AK95" s="17"/>
      <c r="AL95" s="19"/>
      <c r="AM95" s="19"/>
      <c r="AN95" s="6"/>
      <c r="AO95" s="19"/>
      <c r="AP95" s="19"/>
      <c r="AQ95" s="18"/>
      <c r="AR95" s="18"/>
      <c r="AS95" s="18"/>
      <c r="AT95" s="18"/>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row>
    <row r="96" spans="1:105" ht="12" customHeight="1" x14ac:dyDescent="0.25">
      <c r="A96" s="60"/>
      <c r="B96" s="14"/>
      <c r="C96" s="15"/>
      <c r="D96" s="62"/>
      <c r="E96" s="62"/>
      <c r="F96" s="62"/>
      <c r="G96" s="62"/>
      <c r="H96" s="62"/>
      <c r="I96" s="14"/>
      <c r="J96" s="15"/>
      <c r="K96" s="15"/>
      <c r="L96" s="14"/>
      <c r="M96" s="15"/>
      <c r="N96" s="15"/>
      <c r="O96" s="14"/>
      <c r="P96" s="15"/>
      <c r="Q96" s="235"/>
      <c r="R96" s="235"/>
      <c r="S96" s="235"/>
      <c r="T96" s="14"/>
      <c r="U96" s="15"/>
      <c r="V96" s="14"/>
      <c r="W96" s="15"/>
      <c r="X96" s="15"/>
      <c r="Y96" s="14"/>
      <c r="Z96" s="15"/>
      <c r="AA96" s="15"/>
      <c r="AB96" s="21"/>
      <c r="AC96" s="20"/>
      <c r="AD96" s="20"/>
      <c r="AE96" s="21"/>
      <c r="AF96" s="20"/>
      <c r="AG96" s="61"/>
      <c r="AH96" s="21"/>
      <c r="AI96" s="20"/>
      <c r="AJ96" s="61"/>
      <c r="AK96" s="17"/>
      <c r="AL96" s="19"/>
      <c r="AM96" s="19"/>
      <c r="AN96" s="6"/>
      <c r="AO96" s="19"/>
      <c r="AP96" s="19"/>
      <c r="AQ96" s="18"/>
      <c r="AR96" s="18"/>
      <c r="AS96" s="18"/>
      <c r="AT96" s="18"/>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row>
    <row r="97" spans="1:105" ht="12" customHeight="1" x14ac:dyDescent="0.25">
      <c r="A97" s="60"/>
      <c r="B97" s="14"/>
      <c r="C97" s="15"/>
      <c r="D97" s="62"/>
      <c r="E97" s="62"/>
      <c r="F97" s="62"/>
      <c r="G97" s="62"/>
      <c r="H97" s="62"/>
      <c r="I97" s="14"/>
      <c r="J97" s="15"/>
      <c r="K97" s="15"/>
      <c r="L97" s="14"/>
      <c r="M97" s="15"/>
      <c r="N97" s="15"/>
      <c r="O97" s="14"/>
      <c r="P97" s="15"/>
      <c r="Q97" s="235"/>
      <c r="R97" s="235"/>
      <c r="S97" s="235"/>
      <c r="T97" s="14"/>
      <c r="U97" s="15"/>
      <c r="V97" s="14"/>
      <c r="W97" s="15"/>
      <c r="X97" s="15"/>
      <c r="Y97" s="14"/>
      <c r="Z97" s="15"/>
      <c r="AA97" s="15"/>
      <c r="AB97" s="21"/>
      <c r="AC97" s="20"/>
      <c r="AD97" s="20"/>
      <c r="AE97" s="21"/>
      <c r="AF97" s="20"/>
      <c r="AG97" s="61"/>
      <c r="AH97" s="21"/>
      <c r="AI97" s="20"/>
      <c r="AJ97" s="61"/>
      <c r="AK97" s="17"/>
      <c r="AL97" s="19"/>
      <c r="AM97" s="19"/>
      <c r="AN97" s="6"/>
      <c r="AO97" s="19"/>
      <c r="AP97" s="19"/>
      <c r="AQ97" s="18"/>
      <c r="AR97" s="18"/>
      <c r="AS97" s="18"/>
      <c r="AT97" s="18"/>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row>
    <row r="98" spans="1:105" ht="12" customHeight="1" x14ac:dyDescent="0.25">
      <c r="A98" s="60"/>
      <c r="B98" s="14"/>
      <c r="C98" s="15"/>
      <c r="D98" s="148"/>
      <c r="E98" s="148"/>
      <c r="F98" s="148"/>
      <c r="G98" s="148"/>
      <c r="H98" s="148"/>
      <c r="I98" s="14"/>
      <c r="J98" s="15"/>
      <c r="K98" s="15"/>
      <c r="L98" s="14"/>
      <c r="M98" s="15"/>
      <c r="N98" s="15"/>
      <c r="O98" s="14"/>
      <c r="P98" s="15"/>
      <c r="Q98" s="120"/>
      <c r="R98" s="120"/>
      <c r="S98" s="120"/>
      <c r="T98" s="14"/>
      <c r="U98" s="15"/>
      <c r="V98" s="14"/>
      <c r="W98" s="15"/>
      <c r="X98" s="15"/>
      <c r="Y98" s="14"/>
      <c r="Z98" s="15"/>
      <c r="AA98" s="15"/>
      <c r="AB98" s="21"/>
      <c r="AC98" s="20"/>
      <c r="AD98" s="20"/>
      <c r="AE98" s="21"/>
      <c r="AF98" s="20"/>
      <c r="AG98" s="61"/>
      <c r="AH98" s="21"/>
      <c r="AI98" s="20"/>
      <c r="AJ98" s="61"/>
      <c r="AK98" s="17"/>
      <c r="AL98" s="19"/>
      <c r="AM98" s="19"/>
      <c r="AN98" s="6"/>
      <c r="AO98" s="19"/>
      <c r="AP98" s="19"/>
      <c r="AQ98" s="18"/>
      <c r="AR98" s="18"/>
      <c r="AS98" s="18"/>
      <c r="AT98" s="18"/>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row>
    <row r="99" spans="1:105" ht="12" customHeight="1" x14ac:dyDescent="0.25">
      <c r="A99" s="22">
        <f>+A92+1</f>
        <v>19</v>
      </c>
      <c r="B99" s="57"/>
      <c r="C99" s="39"/>
      <c r="D99" s="208" t="s">
        <v>36</v>
      </c>
      <c r="E99" s="209"/>
      <c r="F99" s="209"/>
      <c r="G99" s="209"/>
      <c r="H99" s="209"/>
      <c r="I99" s="57"/>
      <c r="J99" s="39"/>
      <c r="K99" s="56" t="s">
        <v>20</v>
      </c>
      <c r="L99" s="57"/>
      <c r="M99" s="39"/>
      <c r="N99" s="39" t="s">
        <v>31</v>
      </c>
      <c r="O99" s="57"/>
      <c r="P99" s="39"/>
      <c r="Q99" s="234" t="s">
        <v>37</v>
      </c>
      <c r="R99" s="235"/>
      <c r="S99" s="235"/>
      <c r="T99" s="57"/>
      <c r="U99" s="39"/>
      <c r="V99" s="57"/>
      <c r="W99" s="39"/>
      <c r="X99" s="39" t="s">
        <v>33</v>
      </c>
      <c r="Y99" s="57"/>
      <c r="Z99" s="39"/>
      <c r="AA99" s="39" t="s">
        <v>38</v>
      </c>
      <c r="AB99" s="11"/>
      <c r="AC99" s="10"/>
      <c r="AD99" s="10">
        <v>33815517000</v>
      </c>
      <c r="AE99" s="11"/>
      <c r="AF99" s="10"/>
      <c r="AG99" s="58">
        <v>45657</v>
      </c>
      <c r="AH99" s="11"/>
      <c r="AI99" s="10"/>
      <c r="AJ99" s="58"/>
      <c r="AK99" s="9"/>
      <c r="AL99" s="6"/>
      <c r="AM99" s="19"/>
      <c r="AN99" s="6"/>
      <c r="AO99" s="19"/>
      <c r="AP99" s="19"/>
      <c r="AQ99" s="18"/>
      <c r="AR99" s="18"/>
      <c r="AS99" s="18"/>
      <c r="AT99" s="18"/>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row>
    <row r="100" spans="1:105" ht="12" customHeight="1" x14ac:dyDescent="0.25">
      <c r="A100" s="59"/>
      <c r="B100" s="57"/>
      <c r="C100" s="39"/>
      <c r="D100" s="209"/>
      <c r="E100" s="209"/>
      <c r="F100" s="209"/>
      <c r="G100" s="209"/>
      <c r="H100" s="209"/>
      <c r="I100" s="57"/>
      <c r="J100" s="39"/>
      <c r="K100" s="39"/>
      <c r="L100" s="57"/>
      <c r="M100" s="39"/>
      <c r="N100" s="39" t="s">
        <v>23</v>
      </c>
      <c r="O100" s="57"/>
      <c r="P100" s="39"/>
      <c r="Q100" s="235"/>
      <c r="R100" s="235"/>
      <c r="S100" s="235"/>
      <c r="T100" s="57"/>
      <c r="U100" s="39"/>
      <c r="V100" s="57"/>
      <c r="W100" s="39"/>
      <c r="X100" s="39"/>
      <c r="Y100" s="57"/>
      <c r="Z100" s="39"/>
      <c r="AA100" s="40" t="s">
        <v>39</v>
      </c>
      <c r="AB100" s="11"/>
      <c r="AC100" s="10"/>
      <c r="AD100" s="10"/>
      <c r="AE100" s="11"/>
      <c r="AF100" s="10"/>
      <c r="AG100" s="16"/>
      <c r="AH100" s="11"/>
      <c r="AI100" s="10"/>
      <c r="AJ100" s="16"/>
      <c r="AK100" s="9"/>
      <c r="AL100" s="6"/>
      <c r="AM100" s="19"/>
      <c r="AN100" s="6"/>
      <c r="AO100" s="19"/>
      <c r="AP100" s="19"/>
      <c r="AQ100" s="18"/>
      <c r="AR100" s="18"/>
      <c r="AS100" s="18"/>
      <c r="AT100" s="18"/>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row>
    <row r="101" spans="1:105" ht="12" customHeight="1" x14ac:dyDescent="0.25">
      <c r="A101" s="60"/>
      <c r="B101" s="14"/>
      <c r="C101" s="15"/>
      <c r="D101" s="210"/>
      <c r="E101" s="210"/>
      <c r="F101" s="210"/>
      <c r="G101" s="210"/>
      <c r="H101" s="210"/>
      <c r="I101" s="14"/>
      <c r="J101" s="15"/>
      <c r="K101" s="15"/>
      <c r="L101" s="14"/>
      <c r="M101" s="15"/>
      <c r="N101" s="15"/>
      <c r="O101" s="14"/>
      <c r="P101" s="15"/>
      <c r="Q101" s="235"/>
      <c r="R101" s="235"/>
      <c r="S101" s="235"/>
      <c r="T101" s="14"/>
      <c r="U101" s="15"/>
      <c r="V101" s="14"/>
      <c r="W101" s="15"/>
      <c r="X101" s="15"/>
      <c r="Y101" s="14"/>
      <c r="Z101" s="15"/>
      <c r="AA101" s="15"/>
      <c r="AB101" s="21"/>
      <c r="AC101" s="20"/>
      <c r="AD101" s="20"/>
      <c r="AE101" s="21"/>
      <c r="AF101" s="20"/>
      <c r="AG101" s="61"/>
      <c r="AH101" s="21"/>
      <c r="AI101" s="20"/>
      <c r="AJ101" s="61"/>
      <c r="AK101" s="17"/>
      <c r="AL101" s="19"/>
      <c r="AM101" s="19"/>
      <c r="AN101" s="6"/>
      <c r="AO101" s="19"/>
      <c r="AP101" s="19"/>
      <c r="AQ101" s="18"/>
      <c r="AR101" s="18"/>
      <c r="AS101" s="18"/>
      <c r="AT101" s="18"/>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row>
    <row r="102" spans="1:105" ht="12" customHeight="1" x14ac:dyDescent="0.25">
      <c r="A102" s="60"/>
      <c r="B102" s="14"/>
      <c r="C102" s="15"/>
      <c r="D102" s="62"/>
      <c r="E102" s="62"/>
      <c r="F102" s="62"/>
      <c r="G102" s="62"/>
      <c r="H102" s="62"/>
      <c r="I102" s="14"/>
      <c r="J102" s="15"/>
      <c r="K102" s="15"/>
      <c r="L102" s="14"/>
      <c r="M102" s="15"/>
      <c r="N102" s="15"/>
      <c r="O102" s="14"/>
      <c r="P102" s="15"/>
      <c r="Q102" s="235"/>
      <c r="R102" s="235"/>
      <c r="S102" s="235"/>
      <c r="T102" s="14"/>
      <c r="U102" s="15"/>
      <c r="V102" s="14"/>
      <c r="W102" s="15"/>
      <c r="X102" s="15"/>
      <c r="Y102" s="14"/>
      <c r="Z102" s="15"/>
      <c r="AA102" s="15"/>
      <c r="AB102" s="21"/>
      <c r="AC102" s="20"/>
      <c r="AD102" s="20"/>
      <c r="AE102" s="21"/>
      <c r="AF102" s="20"/>
      <c r="AG102" s="61"/>
      <c r="AH102" s="21"/>
      <c r="AI102" s="20"/>
      <c r="AJ102" s="61"/>
      <c r="AK102" s="17"/>
      <c r="AL102" s="19"/>
      <c r="AM102" s="19"/>
      <c r="AN102" s="6"/>
      <c r="AO102" s="19"/>
      <c r="AP102" s="19"/>
      <c r="AQ102" s="18"/>
      <c r="AR102" s="18"/>
      <c r="AS102" s="18"/>
      <c r="AT102" s="18"/>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row>
    <row r="103" spans="1:105" ht="12" customHeight="1" x14ac:dyDescent="0.25">
      <c r="A103" s="60"/>
      <c r="B103" s="14"/>
      <c r="C103" s="15"/>
      <c r="D103" s="62"/>
      <c r="E103" s="62"/>
      <c r="F103" s="62"/>
      <c r="G103" s="62"/>
      <c r="H103" s="62"/>
      <c r="I103" s="14"/>
      <c r="J103" s="15"/>
      <c r="K103" s="15"/>
      <c r="L103" s="14"/>
      <c r="M103" s="15"/>
      <c r="N103" s="15"/>
      <c r="O103" s="14"/>
      <c r="P103" s="15"/>
      <c r="Q103" s="235"/>
      <c r="R103" s="235"/>
      <c r="S103" s="235"/>
      <c r="T103" s="14"/>
      <c r="U103" s="15"/>
      <c r="V103" s="14"/>
      <c r="W103" s="15"/>
      <c r="X103" s="15"/>
      <c r="Y103" s="14"/>
      <c r="Z103" s="15"/>
      <c r="AA103" s="15"/>
      <c r="AB103" s="21"/>
      <c r="AC103" s="20"/>
      <c r="AD103" s="20"/>
      <c r="AE103" s="21"/>
      <c r="AF103" s="20"/>
      <c r="AG103" s="61"/>
      <c r="AH103" s="21"/>
      <c r="AI103" s="20"/>
      <c r="AJ103" s="61"/>
      <c r="AK103" s="17"/>
      <c r="AL103" s="19"/>
      <c r="AM103" s="19"/>
      <c r="AN103" s="6"/>
      <c r="AO103" s="19"/>
      <c r="AP103" s="19"/>
      <c r="AQ103" s="18"/>
      <c r="AR103" s="18"/>
      <c r="AS103" s="18"/>
      <c r="AT103" s="18"/>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row>
    <row r="104" spans="1:105" ht="12" customHeight="1" x14ac:dyDescent="0.25">
      <c r="A104" s="60"/>
      <c r="B104" s="14"/>
      <c r="C104" s="15"/>
      <c r="D104" s="62"/>
      <c r="E104" s="62"/>
      <c r="F104" s="62"/>
      <c r="G104" s="62"/>
      <c r="H104" s="62"/>
      <c r="I104" s="14"/>
      <c r="J104" s="15"/>
      <c r="K104" s="15"/>
      <c r="L104" s="14"/>
      <c r="M104" s="15"/>
      <c r="N104" s="15"/>
      <c r="O104" s="14"/>
      <c r="P104" s="15"/>
      <c r="Q104" s="235"/>
      <c r="R104" s="235"/>
      <c r="S104" s="235"/>
      <c r="T104" s="14"/>
      <c r="U104" s="15"/>
      <c r="V104" s="14"/>
      <c r="W104" s="15"/>
      <c r="X104" s="15"/>
      <c r="Y104" s="14"/>
      <c r="Z104" s="15"/>
      <c r="AA104" s="15"/>
      <c r="AB104" s="21"/>
      <c r="AC104" s="20"/>
      <c r="AD104" s="20"/>
      <c r="AE104" s="21"/>
      <c r="AF104" s="20"/>
      <c r="AG104" s="61"/>
      <c r="AH104" s="21"/>
      <c r="AI104" s="20"/>
      <c r="AJ104" s="61"/>
      <c r="AK104" s="17"/>
      <c r="AL104" s="19"/>
      <c r="AM104" s="19"/>
      <c r="AN104" s="6"/>
      <c r="AO104" s="19"/>
      <c r="AP104" s="19"/>
      <c r="AQ104" s="18"/>
      <c r="AR104" s="18"/>
      <c r="AS104" s="18"/>
      <c r="AT104" s="18"/>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row>
    <row r="105" spans="1:105" ht="12" customHeight="1" x14ac:dyDescent="0.25">
      <c r="A105" s="60"/>
      <c r="B105" s="14"/>
      <c r="C105" s="15"/>
      <c r="D105" s="15"/>
      <c r="E105" s="15"/>
      <c r="F105" s="15"/>
      <c r="G105" s="15"/>
      <c r="H105" s="15"/>
      <c r="I105" s="14"/>
      <c r="J105" s="15"/>
      <c r="K105" s="15"/>
      <c r="L105" s="14"/>
      <c r="M105" s="15"/>
      <c r="N105" s="15"/>
      <c r="O105" s="14"/>
      <c r="P105" s="15"/>
      <c r="Q105" s="235"/>
      <c r="R105" s="235"/>
      <c r="S105" s="235"/>
      <c r="T105" s="14"/>
      <c r="U105" s="15"/>
      <c r="V105" s="14"/>
      <c r="W105" s="15"/>
      <c r="X105" s="15"/>
      <c r="Y105" s="14"/>
      <c r="Z105" s="15"/>
      <c r="AA105" s="15"/>
      <c r="AB105" s="21"/>
      <c r="AC105" s="20"/>
      <c r="AD105" s="20"/>
      <c r="AE105" s="21"/>
      <c r="AF105" s="20"/>
      <c r="AG105" s="61"/>
      <c r="AH105" s="21"/>
      <c r="AI105" s="20"/>
      <c r="AJ105" s="61"/>
      <c r="AK105" s="17"/>
      <c r="AL105" s="19"/>
      <c r="AM105" s="19"/>
      <c r="AN105" s="6"/>
      <c r="AO105" s="19"/>
      <c r="AP105" s="19"/>
      <c r="AQ105" s="18"/>
      <c r="AR105" s="18"/>
      <c r="AS105" s="18"/>
      <c r="AT105" s="18"/>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row>
    <row r="106" spans="1:105" ht="12" customHeight="1" x14ac:dyDescent="0.25">
      <c r="A106" s="60"/>
      <c r="B106" s="14"/>
      <c r="C106" s="15"/>
      <c r="D106" s="15"/>
      <c r="E106" s="15"/>
      <c r="F106" s="15"/>
      <c r="G106" s="15"/>
      <c r="H106" s="15"/>
      <c r="I106" s="14"/>
      <c r="J106" s="15"/>
      <c r="K106" s="15"/>
      <c r="L106" s="14"/>
      <c r="M106" s="15"/>
      <c r="N106" s="15"/>
      <c r="O106" s="14"/>
      <c r="P106" s="15"/>
      <c r="Q106" s="15"/>
      <c r="R106" s="15"/>
      <c r="S106" s="15"/>
      <c r="T106" s="14"/>
      <c r="U106" s="15"/>
      <c r="V106" s="14"/>
      <c r="W106" s="15"/>
      <c r="X106" s="15"/>
      <c r="Y106" s="14"/>
      <c r="Z106" s="15"/>
      <c r="AA106" s="15"/>
      <c r="AB106" s="21"/>
      <c r="AC106" s="20"/>
      <c r="AD106" s="20"/>
      <c r="AE106" s="21"/>
      <c r="AF106" s="20"/>
      <c r="AG106" s="61"/>
      <c r="AH106" s="21"/>
      <c r="AI106" s="20"/>
      <c r="AJ106" s="61"/>
      <c r="AK106" s="17"/>
      <c r="AL106" s="19"/>
      <c r="AM106" s="19"/>
      <c r="AN106" s="19"/>
      <c r="AO106" s="19"/>
      <c r="AP106" s="19"/>
      <c r="AQ106" s="18"/>
      <c r="AR106" s="18"/>
      <c r="AS106" s="18"/>
      <c r="AT106" s="18"/>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row>
    <row r="107" spans="1:105" ht="12" customHeight="1" x14ac:dyDescent="0.25">
      <c r="A107" s="22">
        <f>+A99+1</f>
        <v>20</v>
      </c>
      <c r="B107" s="57"/>
      <c r="C107" s="39"/>
      <c r="D107" s="230" t="s">
        <v>40</v>
      </c>
      <c r="E107" s="209"/>
      <c r="F107" s="209"/>
      <c r="G107" s="209"/>
      <c r="H107" s="209"/>
      <c r="I107" s="57"/>
      <c r="J107" s="39"/>
      <c r="K107" s="56" t="s">
        <v>20</v>
      </c>
      <c r="L107" s="57"/>
      <c r="M107" s="39"/>
      <c r="N107" s="39" t="s">
        <v>41</v>
      </c>
      <c r="O107" s="57"/>
      <c r="P107" s="39"/>
      <c r="Q107" s="234" t="s">
        <v>42</v>
      </c>
      <c r="R107" s="235"/>
      <c r="S107" s="235"/>
      <c r="T107" s="57"/>
      <c r="U107" s="39"/>
      <c r="V107" s="57"/>
      <c r="W107" s="39"/>
      <c r="X107" s="39" t="s">
        <v>43</v>
      </c>
      <c r="Y107" s="57"/>
      <c r="Z107" s="39"/>
      <c r="AA107" s="38" t="s">
        <v>44</v>
      </c>
      <c r="AB107" s="11"/>
      <c r="AC107" s="10"/>
      <c r="AD107" s="10">
        <v>2042544300</v>
      </c>
      <c r="AE107" s="11"/>
      <c r="AF107" s="10"/>
      <c r="AG107" s="58">
        <v>45373</v>
      </c>
      <c r="AH107" s="11"/>
      <c r="AI107" s="10"/>
      <c r="AJ107" s="58"/>
      <c r="AK107" s="9"/>
      <c r="AL107" s="12" t="s">
        <v>45</v>
      </c>
      <c r="AM107" s="19"/>
      <c r="AN107" s="19"/>
      <c r="AO107" s="19"/>
      <c r="AP107" s="19"/>
      <c r="AQ107" s="18"/>
      <c r="AR107" s="18"/>
      <c r="AS107" s="18"/>
      <c r="AT107" s="18"/>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row>
    <row r="108" spans="1:105" ht="12" customHeight="1" x14ac:dyDescent="0.25">
      <c r="A108" s="59"/>
      <c r="B108" s="57"/>
      <c r="C108" s="39"/>
      <c r="D108" s="209"/>
      <c r="E108" s="209"/>
      <c r="F108" s="209"/>
      <c r="G108" s="209"/>
      <c r="H108" s="209"/>
      <c r="I108" s="57"/>
      <c r="J108" s="39"/>
      <c r="K108" s="39"/>
      <c r="L108" s="57"/>
      <c r="M108" s="39"/>
      <c r="N108" s="39"/>
      <c r="O108" s="57"/>
      <c r="P108" s="39"/>
      <c r="Q108" s="235"/>
      <c r="R108" s="235"/>
      <c r="S108" s="235"/>
      <c r="T108" s="57"/>
      <c r="U108" s="39"/>
      <c r="V108" s="57"/>
      <c r="W108" s="39"/>
      <c r="X108" s="39"/>
      <c r="Y108" s="57"/>
      <c r="Z108" s="39"/>
      <c r="AA108" s="40" t="s">
        <v>46</v>
      </c>
      <c r="AB108" s="11"/>
      <c r="AC108" s="10"/>
      <c r="AD108" s="10"/>
      <c r="AE108" s="11"/>
      <c r="AF108" s="10"/>
      <c r="AG108" s="16"/>
      <c r="AH108" s="11"/>
      <c r="AI108" s="10"/>
      <c r="AJ108" s="16"/>
      <c r="AK108" s="9"/>
      <c r="AL108" s="12" t="s">
        <v>47</v>
      </c>
      <c r="AM108" s="19"/>
      <c r="AN108" s="19"/>
      <c r="AO108" s="19"/>
      <c r="AP108" s="19"/>
      <c r="AQ108" s="18"/>
      <c r="AR108" s="18"/>
      <c r="AS108" s="18"/>
      <c r="AT108" s="18"/>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row>
    <row r="109" spans="1:105" ht="12" customHeight="1" x14ac:dyDescent="0.25">
      <c r="A109" s="60"/>
      <c r="B109" s="14"/>
      <c r="C109" s="15"/>
      <c r="D109" s="233"/>
      <c r="E109" s="233"/>
      <c r="F109" s="233"/>
      <c r="G109" s="233"/>
      <c r="H109" s="233"/>
      <c r="I109" s="14"/>
      <c r="J109" s="15"/>
      <c r="K109" s="15"/>
      <c r="L109" s="14"/>
      <c r="M109" s="15"/>
      <c r="N109" s="15"/>
      <c r="O109" s="14"/>
      <c r="P109" s="15"/>
      <c r="Q109" s="233"/>
      <c r="R109" s="233"/>
      <c r="S109" s="233"/>
      <c r="T109" s="14"/>
      <c r="U109" s="15"/>
      <c r="V109" s="14"/>
      <c r="W109" s="15"/>
      <c r="X109" s="15"/>
      <c r="Y109" s="14"/>
      <c r="Z109" s="15"/>
      <c r="AA109" s="15"/>
      <c r="AB109" s="21"/>
      <c r="AC109" s="20"/>
      <c r="AD109" s="20"/>
      <c r="AE109" s="21"/>
      <c r="AF109" s="20"/>
      <c r="AG109" s="61"/>
      <c r="AH109" s="21"/>
      <c r="AI109" s="20"/>
      <c r="AJ109" s="61"/>
      <c r="AK109" s="17"/>
      <c r="AL109" s="19"/>
      <c r="AM109" s="19"/>
      <c r="AN109" s="19"/>
      <c r="AO109" s="19"/>
      <c r="AP109" s="19"/>
      <c r="AQ109" s="18"/>
      <c r="AR109" s="18"/>
      <c r="AS109" s="18"/>
      <c r="AT109" s="18"/>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row>
    <row r="110" spans="1:105" ht="12" customHeight="1" x14ac:dyDescent="0.25">
      <c r="A110" s="60"/>
      <c r="B110" s="14"/>
      <c r="C110" s="15"/>
      <c r="D110" s="233"/>
      <c r="E110" s="233"/>
      <c r="F110" s="233"/>
      <c r="G110" s="233"/>
      <c r="H110" s="233"/>
      <c r="I110" s="14"/>
      <c r="J110" s="15"/>
      <c r="K110" s="15"/>
      <c r="L110" s="14"/>
      <c r="M110" s="15"/>
      <c r="N110" s="15"/>
      <c r="O110" s="14"/>
      <c r="P110" s="15"/>
      <c r="Q110" s="15"/>
      <c r="R110" s="15"/>
      <c r="S110" s="15"/>
      <c r="T110" s="14"/>
      <c r="U110" s="15"/>
      <c r="V110" s="14"/>
      <c r="W110" s="15"/>
      <c r="X110" s="15"/>
      <c r="Y110" s="14"/>
      <c r="Z110" s="15"/>
      <c r="AA110" s="15"/>
      <c r="AB110" s="21"/>
      <c r="AC110" s="20"/>
      <c r="AD110" s="20"/>
      <c r="AE110" s="21"/>
      <c r="AF110" s="20"/>
      <c r="AG110" s="61"/>
      <c r="AH110" s="21"/>
      <c r="AI110" s="20"/>
      <c r="AJ110" s="61"/>
      <c r="AK110" s="17"/>
      <c r="AL110" s="19"/>
      <c r="AM110" s="19"/>
      <c r="AN110" s="19"/>
      <c r="AO110" s="19"/>
      <c r="AP110" s="19"/>
      <c r="AQ110" s="18"/>
      <c r="AR110" s="18"/>
      <c r="AS110" s="18"/>
      <c r="AT110" s="18"/>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row>
    <row r="111" spans="1:105" ht="12" customHeight="1" x14ac:dyDescent="0.25">
      <c r="A111" s="60"/>
      <c r="B111" s="14"/>
      <c r="C111" s="15"/>
      <c r="D111" s="233"/>
      <c r="E111" s="233"/>
      <c r="F111" s="233"/>
      <c r="G111" s="233"/>
      <c r="H111" s="233"/>
      <c r="I111" s="14"/>
      <c r="J111" s="15"/>
      <c r="K111" s="15"/>
      <c r="L111" s="14"/>
      <c r="M111" s="15"/>
      <c r="N111" s="15"/>
      <c r="O111" s="14"/>
      <c r="P111" s="15"/>
      <c r="Q111" s="15"/>
      <c r="R111" s="15"/>
      <c r="S111" s="15"/>
      <c r="T111" s="14"/>
      <c r="U111" s="15"/>
      <c r="V111" s="14"/>
      <c r="W111" s="15"/>
      <c r="X111" s="15"/>
      <c r="Y111" s="14"/>
      <c r="Z111" s="15"/>
      <c r="AA111" s="15"/>
      <c r="AB111" s="21"/>
      <c r="AC111" s="20"/>
      <c r="AD111" s="20"/>
      <c r="AE111" s="21"/>
      <c r="AF111" s="20"/>
      <c r="AG111" s="61"/>
      <c r="AH111" s="21"/>
      <c r="AI111" s="20"/>
      <c r="AJ111" s="61"/>
      <c r="AK111" s="17"/>
      <c r="AL111" s="19"/>
      <c r="AM111" s="19"/>
      <c r="AN111" s="19"/>
      <c r="AO111" s="19"/>
      <c r="AP111" s="19"/>
      <c r="AQ111" s="18"/>
      <c r="AR111" s="18"/>
      <c r="AS111" s="18"/>
      <c r="AT111" s="18"/>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row>
    <row r="112" spans="1:105" ht="12" customHeight="1" x14ac:dyDescent="0.25">
      <c r="A112" s="60"/>
      <c r="B112" s="14"/>
      <c r="C112" s="15"/>
      <c r="D112" s="15"/>
      <c r="E112" s="15"/>
      <c r="F112" s="15"/>
      <c r="G112" s="15"/>
      <c r="H112" s="15"/>
      <c r="I112" s="14"/>
      <c r="J112" s="15"/>
      <c r="K112" s="15"/>
      <c r="L112" s="14"/>
      <c r="M112" s="15"/>
      <c r="N112" s="15"/>
      <c r="O112" s="14"/>
      <c r="P112" s="15"/>
      <c r="Q112" s="15"/>
      <c r="R112" s="15"/>
      <c r="S112" s="15"/>
      <c r="T112" s="14"/>
      <c r="U112" s="15"/>
      <c r="V112" s="14"/>
      <c r="W112" s="15"/>
      <c r="X112" s="15"/>
      <c r="Y112" s="14"/>
      <c r="Z112" s="15"/>
      <c r="AA112" s="15"/>
      <c r="AB112" s="21"/>
      <c r="AC112" s="20"/>
      <c r="AD112" s="20"/>
      <c r="AE112" s="21"/>
      <c r="AF112" s="20"/>
      <c r="AG112" s="61"/>
      <c r="AH112" s="21"/>
      <c r="AI112" s="20"/>
      <c r="AJ112" s="61"/>
      <c r="AK112" s="17"/>
      <c r="AL112" s="19"/>
      <c r="AM112" s="19"/>
      <c r="AN112" s="19"/>
      <c r="AO112" s="19"/>
      <c r="AP112" s="19"/>
      <c r="AQ112" s="18"/>
      <c r="AR112" s="18"/>
      <c r="AS112" s="18"/>
      <c r="AT112" s="18"/>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row>
    <row r="113" spans="1:105" ht="12" customHeight="1" x14ac:dyDescent="0.25">
      <c r="A113" s="22">
        <f>+A107+1</f>
        <v>21</v>
      </c>
      <c r="B113" s="66"/>
      <c r="C113" s="67"/>
      <c r="D113" s="230" t="s">
        <v>48</v>
      </c>
      <c r="E113" s="209"/>
      <c r="F113" s="209"/>
      <c r="G113" s="209"/>
      <c r="H113" s="209"/>
      <c r="I113" s="66"/>
      <c r="J113" s="67"/>
      <c r="K113" s="56" t="s">
        <v>20</v>
      </c>
      <c r="L113" s="66"/>
      <c r="M113" s="67"/>
      <c r="N113" s="67" t="s">
        <v>24</v>
      </c>
      <c r="O113" s="66"/>
      <c r="P113" s="67"/>
      <c r="Q113" s="220" t="s">
        <v>49</v>
      </c>
      <c r="R113" s="221"/>
      <c r="S113" s="221"/>
      <c r="T113" s="66"/>
      <c r="U113" s="67"/>
      <c r="V113" s="66"/>
      <c r="W113" s="67"/>
      <c r="X113" s="67" t="s">
        <v>24</v>
      </c>
      <c r="Y113" s="66"/>
      <c r="Z113" s="67"/>
      <c r="AA113" s="71" t="s">
        <v>50</v>
      </c>
      <c r="AB113" s="68"/>
      <c r="AC113" s="65"/>
      <c r="AD113" s="65">
        <v>3219623820</v>
      </c>
      <c r="AE113" s="68"/>
      <c r="AF113" s="65"/>
      <c r="AG113" s="53">
        <v>44908</v>
      </c>
      <c r="AH113" s="68"/>
      <c r="AI113" s="65"/>
      <c r="AJ113" s="53">
        <f>+AG113</f>
        <v>44908</v>
      </c>
      <c r="AK113" s="50"/>
      <c r="AL113" s="6"/>
      <c r="AM113" s="19"/>
      <c r="AN113" s="19"/>
      <c r="AO113" s="19"/>
      <c r="AP113" s="19"/>
      <c r="AQ113" s="18"/>
      <c r="AR113" s="18"/>
      <c r="AS113" s="18"/>
      <c r="AT113" s="18"/>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row>
    <row r="114" spans="1:105" ht="12" customHeight="1" x14ac:dyDescent="0.25">
      <c r="A114" s="69"/>
      <c r="B114" s="66"/>
      <c r="C114" s="67"/>
      <c r="D114" s="209"/>
      <c r="E114" s="209"/>
      <c r="F114" s="209"/>
      <c r="G114" s="209"/>
      <c r="H114" s="209"/>
      <c r="I114" s="66"/>
      <c r="J114" s="67"/>
      <c r="K114" s="67"/>
      <c r="L114" s="66"/>
      <c r="M114" s="67"/>
      <c r="N114" s="67"/>
      <c r="O114" s="66"/>
      <c r="P114" s="67"/>
      <c r="Q114" s="221"/>
      <c r="R114" s="221"/>
      <c r="S114" s="221"/>
      <c r="T114" s="66"/>
      <c r="U114" s="67"/>
      <c r="V114" s="66"/>
      <c r="W114" s="67"/>
      <c r="X114" s="67"/>
      <c r="Y114" s="66"/>
      <c r="Z114" s="67"/>
      <c r="AA114" s="72" t="s">
        <v>51</v>
      </c>
      <c r="AB114" s="68"/>
      <c r="AC114" s="65"/>
      <c r="AD114" s="65"/>
      <c r="AE114" s="68"/>
      <c r="AF114" s="65"/>
      <c r="AG114" s="52"/>
      <c r="AH114" s="68"/>
      <c r="AI114" s="65"/>
      <c r="AJ114" s="52"/>
      <c r="AK114" s="50"/>
      <c r="AL114" s="6"/>
      <c r="AM114" s="19"/>
      <c r="AN114" s="19"/>
      <c r="AO114" s="19"/>
      <c r="AP114" s="19"/>
      <c r="AQ114" s="18"/>
      <c r="AR114" s="18"/>
      <c r="AS114" s="18"/>
      <c r="AT114" s="18"/>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row>
    <row r="115" spans="1:105" ht="12" customHeight="1" x14ac:dyDescent="0.25">
      <c r="A115" s="22"/>
      <c r="B115" s="23"/>
      <c r="C115" s="56"/>
      <c r="D115" s="56"/>
      <c r="E115" s="56"/>
      <c r="F115" s="56"/>
      <c r="G115" s="56"/>
      <c r="H115" s="56"/>
      <c r="I115" s="23"/>
      <c r="J115" s="56"/>
      <c r="K115" s="56"/>
      <c r="L115" s="23"/>
      <c r="M115" s="56"/>
      <c r="N115" s="56"/>
      <c r="O115" s="23"/>
      <c r="P115" s="56"/>
      <c r="Q115" s="56"/>
      <c r="R115" s="56"/>
      <c r="S115" s="56"/>
      <c r="T115" s="23"/>
      <c r="U115" s="56"/>
      <c r="V115" s="23"/>
      <c r="W115" s="56"/>
      <c r="X115" s="56"/>
      <c r="Y115" s="23"/>
      <c r="Z115" s="56"/>
      <c r="AA115" s="56"/>
      <c r="AB115" s="34"/>
      <c r="AC115" s="54"/>
      <c r="AD115" s="54"/>
      <c r="AE115" s="34"/>
      <c r="AF115" s="54"/>
      <c r="AG115" s="51"/>
      <c r="AH115" s="34"/>
      <c r="AI115" s="54"/>
      <c r="AJ115" s="51"/>
      <c r="AK115" s="35"/>
      <c r="AL115" s="19"/>
      <c r="AM115" s="19"/>
      <c r="AN115" s="19"/>
      <c r="AO115" s="19"/>
      <c r="AP115" s="19"/>
      <c r="AQ115" s="18"/>
      <c r="AR115" s="18"/>
      <c r="AS115" s="18"/>
      <c r="AT115" s="18"/>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row>
    <row r="116" spans="1:105" ht="12" customHeight="1" x14ac:dyDescent="0.25">
      <c r="A116" s="22">
        <f>+A113+1</f>
        <v>22</v>
      </c>
      <c r="B116" s="66"/>
      <c r="C116" s="67"/>
      <c r="D116" s="236" t="s">
        <v>52</v>
      </c>
      <c r="E116" s="237"/>
      <c r="F116" s="237"/>
      <c r="G116" s="237"/>
      <c r="H116" s="237"/>
      <c r="I116" s="66"/>
      <c r="J116" s="67"/>
      <c r="K116" s="56" t="s">
        <v>20</v>
      </c>
      <c r="L116" s="66"/>
      <c r="M116" s="67"/>
      <c r="N116" s="67" t="s">
        <v>26</v>
      </c>
      <c r="O116" s="66"/>
      <c r="P116" s="67"/>
      <c r="Q116" s="220" t="s">
        <v>53</v>
      </c>
      <c r="R116" s="221"/>
      <c r="S116" s="221"/>
      <c r="T116" s="66"/>
      <c r="U116" s="67"/>
      <c r="V116" s="66"/>
      <c r="W116" s="67"/>
      <c r="X116" s="67" t="s">
        <v>24</v>
      </c>
      <c r="Y116" s="66"/>
      <c r="Z116" s="67"/>
      <c r="AA116" s="71" t="s">
        <v>54</v>
      </c>
      <c r="AB116" s="68"/>
      <c r="AC116" s="65"/>
      <c r="AD116" s="65">
        <v>2419020000</v>
      </c>
      <c r="AE116" s="68"/>
      <c r="AF116" s="65"/>
      <c r="AG116" s="53">
        <v>44932</v>
      </c>
      <c r="AH116" s="68"/>
      <c r="AI116" s="65"/>
      <c r="AJ116" s="53">
        <f>+AG116</f>
        <v>44932</v>
      </c>
      <c r="AK116" s="50"/>
      <c r="AL116" s="6"/>
      <c r="AM116" s="19"/>
      <c r="AN116" s="19"/>
      <c r="AO116" s="19"/>
      <c r="AP116" s="19"/>
      <c r="AQ116" s="18"/>
      <c r="AR116" s="18"/>
      <c r="AS116" s="18"/>
      <c r="AT116" s="18"/>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row>
    <row r="117" spans="1:105" ht="12" customHeight="1" x14ac:dyDescent="0.25">
      <c r="A117" s="69"/>
      <c r="B117" s="66"/>
      <c r="C117" s="67"/>
      <c r="D117" s="237"/>
      <c r="E117" s="237"/>
      <c r="F117" s="237"/>
      <c r="G117" s="237"/>
      <c r="H117" s="237"/>
      <c r="I117" s="66"/>
      <c r="J117" s="67"/>
      <c r="K117" s="67"/>
      <c r="L117" s="66"/>
      <c r="M117" s="67"/>
      <c r="N117" s="67"/>
      <c r="O117" s="66"/>
      <c r="P117" s="67"/>
      <c r="Q117" s="221"/>
      <c r="R117" s="221"/>
      <c r="S117" s="221"/>
      <c r="T117" s="66"/>
      <c r="U117" s="67"/>
      <c r="V117" s="66"/>
      <c r="W117" s="67"/>
      <c r="X117" s="67"/>
      <c r="Y117" s="66"/>
      <c r="Z117" s="67"/>
      <c r="AA117" s="72" t="s">
        <v>55</v>
      </c>
      <c r="AB117" s="68"/>
      <c r="AC117" s="65"/>
      <c r="AD117" s="65"/>
      <c r="AE117" s="68"/>
      <c r="AF117" s="65"/>
      <c r="AG117" s="52"/>
      <c r="AH117" s="68"/>
      <c r="AI117" s="65"/>
      <c r="AJ117" s="52"/>
      <c r="AK117" s="50"/>
      <c r="AL117" s="6"/>
      <c r="AM117" s="19"/>
      <c r="AN117" s="19"/>
      <c r="AO117" s="19"/>
      <c r="AP117" s="19"/>
      <c r="AQ117" s="18"/>
      <c r="AR117" s="18"/>
      <c r="AS117" s="18"/>
      <c r="AT117" s="18"/>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row>
    <row r="118" spans="1:105" ht="12" customHeight="1" x14ac:dyDescent="0.25">
      <c r="A118" s="22"/>
      <c r="B118" s="23"/>
      <c r="C118" s="56"/>
      <c r="D118" s="238"/>
      <c r="E118" s="238"/>
      <c r="F118" s="238"/>
      <c r="G118" s="238"/>
      <c r="H118" s="238"/>
      <c r="I118" s="23"/>
      <c r="J118" s="56"/>
      <c r="K118" s="56"/>
      <c r="L118" s="23"/>
      <c r="M118" s="56"/>
      <c r="N118" s="56"/>
      <c r="O118" s="23"/>
      <c r="P118" s="56"/>
      <c r="Q118" s="231"/>
      <c r="R118" s="231"/>
      <c r="S118" s="231"/>
      <c r="T118" s="23"/>
      <c r="U118" s="56"/>
      <c r="V118" s="23"/>
      <c r="W118" s="56"/>
      <c r="X118" s="56"/>
      <c r="Y118" s="23"/>
      <c r="Z118" s="56"/>
      <c r="AA118" s="56"/>
      <c r="AB118" s="34"/>
      <c r="AC118" s="54"/>
      <c r="AD118" s="54"/>
      <c r="AE118" s="34"/>
      <c r="AF118" s="54"/>
      <c r="AG118" s="51"/>
      <c r="AH118" s="34"/>
      <c r="AI118" s="54"/>
      <c r="AJ118" s="51"/>
      <c r="AK118" s="35"/>
      <c r="AL118" s="19"/>
      <c r="AM118" s="19"/>
      <c r="AN118" s="19"/>
      <c r="AO118" s="19"/>
      <c r="AP118" s="19"/>
      <c r="AQ118" s="18"/>
      <c r="AR118" s="18"/>
      <c r="AS118" s="18"/>
      <c r="AT118" s="18"/>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row>
    <row r="119" spans="1:105" ht="12" customHeight="1" x14ac:dyDescent="0.25">
      <c r="A119" s="22"/>
      <c r="B119" s="23"/>
      <c r="C119" s="56"/>
      <c r="D119" s="238"/>
      <c r="E119" s="238"/>
      <c r="F119" s="238"/>
      <c r="G119" s="238"/>
      <c r="H119" s="238"/>
      <c r="I119" s="23"/>
      <c r="J119" s="56"/>
      <c r="K119" s="56"/>
      <c r="L119" s="23"/>
      <c r="M119" s="56"/>
      <c r="N119" s="56"/>
      <c r="O119" s="23"/>
      <c r="P119" s="56"/>
      <c r="Q119" s="231"/>
      <c r="R119" s="231"/>
      <c r="S119" s="231"/>
      <c r="T119" s="23"/>
      <c r="U119" s="56"/>
      <c r="V119" s="23"/>
      <c r="W119" s="56"/>
      <c r="X119" s="56"/>
      <c r="Y119" s="23"/>
      <c r="Z119" s="56"/>
      <c r="AA119" s="56"/>
      <c r="AB119" s="34"/>
      <c r="AC119" s="54"/>
      <c r="AD119" s="54"/>
      <c r="AE119" s="34"/>
      <c r="AF119" s="54"/>
      <c r="AG119" s="51"/>
      <c r="AH119" s="34"/>
      <c r="AI119" s="54"/>
      <c r="AJ119" s="51"/>
      <c r="AK119" s="35"/>
      <c r="AL119" s="19"/>
      <c r="AM119" s="19"/>
      <c r="AN119" s="19"/>
      <c r="AO119" s="19"/>
      <c r="AP119" s="19"/>
      <c r="AQ119" s="18"/>
      <c r="AR119" s="18"/>
      <c r="AS119" s="18"/>
      <c r="AT119" s="18"/>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row>
    <row r="120" spans="1:105" ht="12" customHeight="1" x14ac:dyDescent="0.25">
      <c r="A120" s="22"/>
      <c r="B120" s="23"/>
      <c r="C120" s="56"/>
      <c r="D120" s="238"/>
      <c r="E120" s="238"/>
      <c r="F120" s="238"/>
      <c r="G120" s="238"/>
      <c r="H120" s="238"/>
      <c r="I120" s="23"/>
      <c r="J120" s="56"/>
      <c r="K120" s="56"/>
      <c r="L120" s="23"/>
      <c r="M120" s="56"/>
      <c r="N120" s="56"/>
      <c r="O120" s="23"/>
      <c r="P120" s="56"/>
      <c r="Q120" s="231"/>
      <c r="R120" s="231"/>
      <c r="S120" s="231"/>
      <c r="T120" s="23"/>
      <c r="U120" s="56"/>
      <c r="V120" s="23"/>
      <c r="W120" s="56"/>
      <c r="X120" s="56"/>
      <c r="Y120" s="23"/>
      <c r="Z120" s="56"/>
      <c r="AA120" s="56"/>
      <c r="AB120" s="34"/>
      <c r="AC120" s="54"/>
      <c r="AD120" s="54"/>
      <c r="AE120" s="34"/>
      <c r="AF120" s="54"/>
      <c r="AG120" s="51"/>
      <c r="AH120" s="34"/>
      <c r="AI120" s="54"/>
      <c r="AJ120" s="51"/>
      <c r="AK120" s="35"/>
      <c r="AL120" s="19"/>
      <c r="AM120" s="19"/>
      <c r="AN120" s="19"/>
      <c r="AO120" s="19"/>
      <c r="AP120" s="19"/>
      <c r="AQ120" s="18"/>
      <c r="AR120" s="18"/>
      <c r="AS120" s="18"/>
      <c r="AT120" s="18"/>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row>
    <row r="121" spans="1:105" ht="12" customHeight="1" x14ac:dyDescent="0.25">
      <c r="A121" s="22"/>
      <c r="B121" s="23"/>
      <c r="C121" s="56"/>
      <c r="D121" s="238"/>
      <c r="E121" s="238"/>
      <c r="F121" s="238"/>
      <c r="G121" s="238"/>
      <c r="H121" s="238"/>
      <c r="I121" s="23"/>
      <c r="J121" s="56"/>
      <c r="K121" s="56"/>
      <c r="L121" s="23"/>
      <c r="M121" s="56"/>
      <c r="N121" s="56"/>
      <c r="O121" s="23"/>
      <c r="P121" s="56"/>
      <c r="Q121" s="73"/>
      <c r="R121" s="73"/>
      <c r="S121" s="73"/>
      <c r="T121" s="23"/>
      <c r="U121" s="56"/>
      <c r="V121" s="23"/>
      <c r="W121" s="56"/>
      <c r="X121" s="56"/>
      <c r="Y121" s="23"/>
      <c r="Z121" s="56"/>
      <c r="AA121" s="56"/>
      <c r="AB121" s="34"/>
      <c r="AC121" s="54"/>
      <c r="AD121" s="54"/>
      <c r="AE121" s="34"/>
      <c r="AF121" s="54"/>
      <c r="AG121" s="51"/>
      <c r="AH121" s="34"/>
      <c r="AI121" s="54"/>
      <c r="AJ121" s="51"/>
      <c r="AK121" s="35"/>
      <c r="AL121" s="19"/>
      <c r="AM121" s="19"/>
      <c r="AN121" s="19"/>
      <c r="AO121" s="19"/>
      <c r="AP121" s="19"/>
      <c r="AQ121" s="18"/>
      <c r="AR121" s="18"/>
      <c r="AS121" s="18"/>
      <c r="AT121" s="18"/>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row>
    <row r="122" spans="1:105" ht="12" customHeight="1" x14ac:dyDescent="0.25">
      <c r="A122" s="22"/>
      <c r="B122" s="23"/>
      <c r="C122" s="56"/>
      <c r="D122" s="238"/>
      <c r="E122" s="238"/>
      <c r="F122" s="238"/>
      <c r="G122" s="238"/>
      <c r="H122" s="238"/>
      <c r="I122" s="23"/>
      <c r="J122" s="56"/>
      <c r="K122" s="56"/>
      <c r="L122" s="23"/>
      <c r="M122" s="56"/>
      <c r="N122" s="56"/>
      <c r="O122" s="23"/>
      <c r="P122" s="56"/>
      <c r="Q122" s="73"/>
      <c r="R122" s="73"/>
      <c r="S122" s="73"/>
      <c r="T122" s="23"/>
      <c r="U122" s="56"/>
      <c r="V122" s="23"/>
      <c r="W122" s="56"/>
      <c r="X122" s="56"/>
      <c r="Y122" s="23"/>
      <c r="Z122" s="56"/>
      <c r="AA122" s="56"/>
      <c r="AB122" s="34"/>
      <c r="AC122" s="54"/>
      <c r="AD122" s="54"/>
      <c r="AE122" s="34"/>
      <c r="AF122" s="54"/>
      <c r="AG122" s="51"/>
      <c r="AH122" s="34"/>
      <c r="AI122" s="54"/>
      <c r="AJ122" s="51"/>
      <c r="AK122" s="35"/>
      <c r="AL122" s="19"/>
      <c r="AM122" s="19"/>
      <c r="AN122" s="19"/>
      <c r="AO122" s="19"/>
      <c r="AP122" s="19"/>
      <c r="AQ122" s="18"/>
      <c r="AR122" s="18"/>
      <c r="AS122" s="18"/>
      <c r="AT122" s="18"/>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row>
    <row r="123" spans="1:105" ht="12" customHeight="1" thickBot="1" x14ac:dyDescent="0.3">
      <c r="A123" s="69"/>
      <c r="B123" s="66"/>
      <c r="C123" s="67"/>
      <c r="D123" s="70"/>
      <c r="E123" s="70"/>
      <c r="F123" s="70"/>
      <c r="G123" s="70"/>
      <c r="H123" s="70"/>
      <c r="I123" s="66"/>
      <c r="J123" s="67"/>
      <c r="K123" s="67"/>
      <c r="L123" s="66"/>
      <c r="M123" s="67"/>
      <c r="N123" s="67"/>
      <c r="O123" s="66"/>
      <c r="P123" s="67"/>
      <c r="Q123" s="67"/>
      <c r="R123" s="67"/>
      <c r="S123" s="67"/>
      <c r="T123" s="66"/>
      <c r="U123" s="67"/>
      <c r="V123" s="66"/>
      <c r="W123" s="67"/>
      <c r="X123" s="67"/>
      <c r="Y123" s="66"/>
      <c r="Z123" s="67"/>
      <c r="AA123" s="67"/>
      <c r="AB123" s="68"/>
      <c r="AC123" s="65"/>
      <c r="AD123" s="65"/>
      <c r="AE123" s="68"/>
      <c r="AF123" s="65"/>
      <c r="AG123" s="52"/>
      <c r="AH123" s="68"/>
      <c r="AI123" s="65"/>
      <c r="AJ123" s="52"/>
      <c r="AK123" s="50"/>
      <c r="AL123" s="56"/>
      <c r="AM123" s="63"/>
      <c r="AN123" s="63"/>
      <c r="AO123" s="63"/>
      <c r="AP123" s="63"/>
      <c r="AQ123" s="64"/>
      <c r="AR123" s="64"/>
      <c r="AS123" s="64"/>
      <c r="AT123" s="64"/>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row>
    <row r="124" spans="1:105" ht="12" customHeight="1" thickTop="1" x14ac:dyDescent="0.3">
      <c r="A124" s="185" t="s">
        <v>120</v>
      </c>
      <c r="B124" s="186"/>
      <c r="C124" s="187"/>
      <c r="D124" s="187" t="s">
        <v>170</v>
      </c>
      <c r="E124" s="187"/>
      <c r="F124" s="187"/>
      <c r="G124" s="188"/>
      <c r="H124" s="188"/>
      <c r="I124" s="189"/>
      <c r="J124" s="188"/>
      <c r="K124" s="188"/>
      <c r="L124" s="189"/>
      <c r="M124" s="188"/>
      <c r="N124" s="188"/>
      <c r="O124" s="189"/>
      <c r="P124" s="188"/>
      <c r="Q124" s="188"/>
      <c r="R124" s="188"/>
      <c r="S124" s="188"/>
      <c r="T124" s="189"/>
      <c r="U124" s="188"/>
      <c r="V124" s="189"/>
      <c r="W124" s="188"/>
      <c r="X124" s="188"/>
      <c r="Y124" s="189"/>
      <c r="Z124" s="188"/>
      <c r="AA124" s="188"/>
      <c r="AB124" s="189"/>
      <c r="AC124" s="188"/>
      <c r="AD124" s="188"/>
      <c r="AE124" s="189"/>
      <c r="AF124" s="188"/>
      <c r="AG124" s="188"/>
      <c r="AH124" s="189"/>
      <c r="AI124" s="188"/>
      <c r="AJ124" s="188"/>
      <c r="AK124" s="190"/>
      <c r="AL124" s="12"/>
      <c r="AN124" s="6"/>
      <c r="AO124" s="6"/>
      <c r="AP124" s="6"/>
      <c r="AQ124" s="6"/>
      <c r="AR124" s="6"/>
      <c r="AS124" s="6"/>
      <c r="AT124" s="6"/>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row>
    <row r="125" spans="1:105" ht="12" customHeight="1" x14ac:dyDescent="0.3">
      <c r="A125" s="113"/>
      <c r="B125" s="114"/>
      <c r="C125" s="115"/>
      <c r="D125" s="115"/>
      <c r="E125" s="115"/>
      <c r="F125" s="115"/>
      <c r="G125" s="93"/>
      <c r="H125" s="93"/>
      <c r="I125" s="83"/>
      <c r="J125" s="93"/>
      <c r="K125" s="93"/>
      <c r="L125" s="83"/>
      <c r="M125" s="93"/>
      <c r="N125" s="93"/>
      <c r="O125" s="83"/>
      <c r="P125" s="93"/>
      <c r="Q125" s="93"/>
      <c r="R125" s="93"/>
      <c r="S125" s="93"/>
      <c r="T125" s="83"/>
      <c r="U125" s="93"/>
      <c r="V125" s="83"/>
      <c r="W125" s="93"/>
      <c r="X125" s="93"/>
      <c r="Y125" s="83"/>
      <c r="Z125" s="93"/>
      <c r="AA125" s="93"/>
      <c r="AB125" s="83"/>
      <c r="AC125" s="93"/>
      <c r="AD125" s="65"/>
      <c r="AE125" s="83"/>
      <c r="AF125" s="93"/>
      <c r="AG125" s="93"/>
      <c r="AH125" s="83"/>
      <c r="AI125" s="93"/>
      <c r="AJ125" s="93"/>
      <c r="AK125" s="85"/>
      <c r="AL125" s="12"/>
      <c r="AN125" s="6"/>
      <c r="AO125" s="6"/>
      <c r="AP125" s="6"/>
      <c r="AQ125" s="6"/>
      <c r="AR125" s="6"/>
      <c r="AS125" s="6"/>
      <c r="AT125" s="6"/>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row>
    <row r="126" spans="1:105" ht="12" customHeight="1" x14ac:dyDescent="0.3">
      <c r="A126" s="81">
        <v>1</v>
      </c>
      <c r="B126" s="114"/>
      <c r="C126" s="115"/>
      <c r="D126" s="227" t="s">
        <v>161</v>
      </c>
      <c r="E126" s="227"/>
      <c r="F126" s="227"/>
      <c r="G126" s="227"/>
      <c r="H126" s="227"/>
      <c r="I126" s="83"/>
      <c r="J126" s="93"/>
      <c r="K126" s="116" t="s">
        <v>162</v>
      </c>
      <c r="L126" s="83"/>
      <c r="M126" s="93"/>
      <c r="N126" s="116" t="s">
        <v>22</v>
      </c>
      <c r="O126" s="83"/>
      <c r="P126" s="93"/>
      <c r="Q126" s="116" t="s">
        <v>163</v>
      </c>
      <c r="R126" s="93"/>
      <c r="S126" s="93"/>
      <c r="T126" s="83"/>
      <c r="U126" s="93"/>
      <c r="V126" s="83"/>
      <c r="W126" s="93"/>
      <c r="X126" s="116" t="s">
        <v>22</v>
      </c>
      <c r="Y126" s="83"/>
      <c r="Z126" s="93"/>
      <c r="AA126" s="116" t="s">
        <v>165</v>
      </c>
      <c r="AB126" s="83"/>
      <c r="AC126" s="93"/>
      <c r="AD126" s="65">
        <v>630150000</v>
      </c>
      <c r="AE126" s="83"/>
      <c r="AF126" s="93"/>
      <c r="AG126" s="117" t="s">
        <v>167</v>
      </c>
      <c r="AH126" s="83"/>
      <c r="AI126" s="93"/>
      <c r="AJ126" s="93"/>
      <c r="AK126" s="85"/>
      <c r="AL126" s="12"/>
      <c r="AN126" s="6"/>
      <c r="AO126" s="6"/>
      <c r="AP126" s="6"/>
      <c r="AQ126" s="6"/>
      <c r="AR126" s="6"/>
      <c r="AS126" s="6"/>
      <c r="AT126" s="6"/>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row>
    <row r="127" spans="1:105" ht="12" customHeight="1" x14ac:dyDescent="0.3">
      <c r="A127" s="81"/>
      <c r="B127" s="114"/>
      <c r="C127" s="115"/>
      <c r="D127" s="227"/>
      <c r="E127" s="227"/>
      <c r="F127" s="227"/>
      <c r="G127" s="227"/>
      <c r="H127" s="227"/>
      <c r="I127" s="83"/>
      <c r="J127" s="93"/>
      <c r="K127" s="93"/>
      <c r="L127" s="83"/>
      <c r="M127" s="93"/>
      <c r="N127" s="93"/>
      <c r="O127" s="83"/>
      <c r="P127" s="93"/>
      <c r="Q127" s="116" t="s">
        <v>164</v>
      </c>
      <c r="R127" s="93"/>
      <c r="S127" s="93"/>
      <c r="T127" s="83"/>
      <c r="U127" s="93"/>
      <c r="V127" s="83"/>
      <c r="W127" s="93"/>
      <c r="X127" s="93"/>
      <c r="Y127" s="83"/>
      <c r="Z127" s="93"/>
      <c r="AA127" s="117" t="s">
        <v>166</v>
      </c>
      <c r="AB127" s="83"/>
      <c r="AC127" s="93"/>
      <c r="AD127" s="93"/>
      <c r="AE127" s="83"/>
      <c r="AF127" s="93"/>
      <c r="AG127" s="93"/>
      <c r="AH127" s="83"/>
      <c r="AI127" s="93"/>
      <c r="AJ127" s="93"/>
      <c r="AK127" s="85"/>
      <c r="AL127" s="12"/>
      <c r="AN127" s="6"/>
      <c r="AO127" s="6"/>
      <c r="AP127" s="6"/>
      <c r="AQ127" s="6"/>
      <c r="AR127" s="6"/>
      <c r="AS127" s="6"/>
      <c r="AT127" s="6"/>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row>
    <row r="128" spans="1:105" ht="12" customHeight="1" x14ac:dyDescent="0.3">
      <c r="A128" s="81"/>
      <c r="B128" s="114"/>
      <c r="C128" s="115"/>
      <c r="D128" s="232"/>
      <c r="E128" s="232"/>
      <c r="F128" s="232"/>
      <c r="G128" s="232"/>
      <c r="H128" s="232"/>
      <c r="I128" s="83"/>
      <c r="J128" s="93"/>
      <c r="K128" s="93"/>
      <c r="L128" s="83"/>
      <c r="M128" s="93"/>
      <c r="N128" s="93"/>
      <c r="O128" s="83"/>
      <c r="P128" s="93"/>
      <c r="Q128" s="93"/>
      <c r="R128" s="93"/>
      <c r="S128" s="93"/>
      <c r="T128" s="83"/>
      <c r="U128" s="93"/>
      <c r="V128" s="83"/>
      <c r="W128" s="93"/>
      <c r="X128" s="93"/>
      <c r="Y128" s="83"/>
      <c r="Z128" s="93"/>
      <c r="AA128" s="93"/>
      <c r="AB128" s="83"/>
      <c r="AC128" s="93"/>
      <c r="AD128" s="93"/>
      <c r="AE128" s="83"/>
      <c r="AF128" s="93"/>
      <c r="AG128" s="93"/>
      <c r="AH128" s="83"/>
      <c r="AI128" s="93"/>
      <c r="AJ128" s="93"/>
      <c r="AK128" s="85"/>
      <c r="AL128" s="12"/>
      <c r="AN128" s="6"/>
      <c r="AO128" s="6"/>
      <c r="AP128" s="6"/>
      <c r="AQ128" s="6"/>
      <c r="AR128" s="6"/>
      <c r="AS128" s="6"/>
      <c r="AT128" s="6"/>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row>
    <row r="129" spans="1:105" ht="12" customHeight="1" x14ac:dyDescent="0.3">
      <c r="A129" s="81"/>
      <c r="B129" s="114"/>
      <c r="C129" s="115"/>
      <c r="D129" s="115"/>
      <c r="E129" s="115"/>
      <c r="F129" s="115"/>
      <c r="G129" s="93"/>
      <c r="H129" s="93"/>
      <c r="I129" s="83"/>
      <c r="J129" s="93"/>
      <c r="K129" s="93"/>
      <c r="L129" s="83"/>
      <c r="M129" s="93"/>
      <c r="N129" s="93"/>
      <c r="O129" s="83"/>
      <c r="P129" s="93"/>
      <c r="Q129" s="93"/>
      <c r="R129" s="93"/>
      <c r="S129" s="93"/>
      <c r="T129" s="83"/>
      <c r="U129" s="93"/>
      <c r="V129" s="83"/>
      <c r="W129" s="93"/>
      <c r="X129" s="93"/>
      <c r="Y129" s="83"/>
      <c r="Z129" s="93"/>
      <c r="AA129" s="93"/>
      <c r="AB129" s="83"/>
      <c r="AC129" s="93"/>
      <c r="AD129" s="93"/>
      <c r="AE129" s="83"/>
      <c r="AF129" s="93"/>
      <c r="AG129" s="93"/>
      <c r="AH129" s="83"/>
      <c r="AI129" s="93"/>
      <c r="AJ129" s="93"/>
      <c r="AK129" s="85"/>
      <c r="AL129" s="12"/>
      <c r="AN129" s="6"/>
      <c r="AO129" s="6"/>
      <c r="AP129" s="6"/>
      <c r="AQ129" s="6"/>
      <c r="AR129" s="6"/>
      <c r="AS129" s="6"/>
      <c r="AT129" s="6"/>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row>
    <row r="130" spans="1:105" ht="12" customHeight="1" x14ac:dyDescent="0.3">
      <c r="A130" s="81"/>
      <c r="B130" s="114"/>
      <c r="C130" s="115"/>
      <c r="D130" s="115"/>
      <c r="E130" s="115"/>
      <c r="F130" s="115"/>
      <c r="G130" s="93"/>
      <c r="H130" s="93"/>
      <c r="I130" s="83"/>
      <c r="J130" s="93"/>
      <c r="K130" s="93"/>
      <c r="L130" s="83"/>
      <c r="M130" s="93"/>
      <c r="N130" s="93"/>
      <c r="O130" s="83"/>
      <c r="P130" s="93"/>
      <c r="Q130" s="93"/>
      <c r="R130" s="93"/>
      <c r="S130" s="93"/>
      <c r="T130" s="83"/>
      <c r="U130" s="93"/>
      <c r="V130" s="83"/>
      <c r="W130" s="93"/>
      <c r="X130" s="93"/>
      <c r="Y130" s="83"/>
      <c r="Z130" s="93"/>
      <c r="AA130" s="93"/>
      <c r="AB130" s="83"/>
      <c r="AC130" s="93"/>
      <c r="AD130" s="93"/>
      <c r="AE130" s="83"/>
      <c r="AF130" s="93"/>
      <c r="AG130" s="93"/>
      <c r="AH130" s="83"/>
      <c r="AI130" s="93"/>
      <c r="AJ130" s="93"/>
      <c r="AK130" s="85"/>
      <c r="AL130" s="12"/>
      <c r="AN130" s="6"/>
      <c r="AO130" s="6"/>
      <c r="AP130" s="6"/>
      <c r="AQ130" s="6"/>
      <c r="AR130" s="6"/>
      <c r="AS130" s="6"/>
      <c r="AT130" s="6"/>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row>
    <row r="131" spans="1:105" ht="12" customHeight="1" x14ac:dyDescent="0.3">
      <c r="A131" s="81">
        <v>2</v>
      </c>
      <c r="B131" s="114"/>
      <c r="C131" s="115"/>
      <c r="D131" s="227" t="s">
        <v>150</v>
      </c>
      <c r="E131" s="227"/>
      <c r="F131" s="227"/>
      <c r="G131" s="227"/>
      <c r="H131" s="227"/>
      <c r="I131" s="83"/>
      <c r="J131" s="93"/>
      <c r="K131" s="149" t="s">
        <v>91</v>
      </c>
      <c r="L131" s="83"/>
      <c r="M131" s="93"/>
      <c r="N131" s="116" t="s">
        <v>22</v>
      </c>
      <c r="O131" s="83"/>
      <c r="P131" s="93"/>
      <c r="Q131" s="230" t="s">
        <v>151</v>
      </c>
      <c r="R131" s="230"/>
      <c r="S131" s="230"/>
      <c r="T131" s="83"/>
      <c r="U131" s="93"/>
      <c r="V131" s="83"/>
      <c r="W131" s="93"/>
      <c r="X131" s="116" t="s">
        <v>22</v>
      </c>
      <c r="Y131" s="83"/>
      <c r="Z131" s="93"/>
      <c r="AA131" s="175" t="s">
        <v>152</v>
      </c>
      <c r="AB131" s="83"/>
      <c r="AC131" s="93"/>
      <c r="AD131" s="65">
        <v>18638614950</v>
      </c>
      <c r="AE131" s="83"/>
      <c r="AF131" s="93"/>
      <c r="AG131" s="117" t="s">
        <v>132</v>
      </c>
      <c r="AH131" s="83"/>
      <c r="AI131" s="93"/>
      <c r="AJ131" s="93"/>
      <c r="AK131" s="85"/>
      <c r="AL131" s="12"/>
      <c r="AN131" s="6"/>
      <c r="AO131" s="6"/>
      <c r="AP131" s="6"/>
      <c r="AQ131" s="6"/>
      <c r="AR131" s="6"/>
      <c r="AS131" s="6"/>
      <c r="AT131" s="6"/>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row>
    <row r="132" spans="1:105" ht="12" customHeight="1" x14ac:dyDescent="0.3">
      <c r="A132" s="113"/>
      <c r="B132" s="114"/>
      <c r="C132" s="115"/>
      <c r="D132" s="227"/>
      <c r="E132" s="227"/>
      <c r="F132" s="227"/>
      <c r="G132" s="227"/>
      <c r="H132" s="227"/>
      <c r="I132" s="83"/>
      <c r="J132" s="93"/>
      <c r="K132" s="149" t="s">
        <v>97</v>
      </c>
      <c r="L132" s="83"/>
      <c r="M132" s="93"/>
      <c r="N132" s="93"/>
      <c r="O132" s="83"/>
      <c r="P132" s="93"/>
      <c r="Q132" s="230"/>
      <c r="R132" s="230"/>
      <c r="S132" s="230"/>
      <c r="T132" s="83"/>
      <c r="U132" s="93"/>
      <c r="V132" s="83"/>
      <c r="W132" s="93"/>
      <c r="X132" s="93"/>
      <c r="Y132" s="83"/>
      <c r="Z132" s="93"/>
      <c r="AA132" s="117" t="s">
        <v>153</v>
      </c>
      <c r="AB132" s="83"/>
      <c r="AC132" s="93"/>
      <c r="AD132" s="93"/>
      <c r="AE132" s="83"/>
      <c r="AF132" s="93"/>
      <c r="AG132" s="93"/>
      <c r="AH132" s="83"/>
      <c r="AI132" s="93"/>
      <c r="AJ132" s="93"/>
      <c r="AK132" s="85"/>
      <c r="AL132" s="12"/>
      <c r="AN132" s="6"/>
      <c r="AO132" s="6"/>
      <c r="AP132" s="6"/>
      <c r="AQ132" s="6"/>
      <c r="AR132" s="6"/>
      <c r="AS132" s="6"/>
      <c r="AT132" s="6"/>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row>
    <row r="133" spans="1:105" ht="12" customHeight="1" x14ac:dyDescent="0.3">
      <c r="A133" s="113"/>
      <c r="B133" s="114"/>
      <c r="C133" s="115"/>
      <c r="D133" s="232"/>
      <c r="E133" s="232"/>
      <c r="F133" s="232"/>
      <c r="G133" s="232"/>
      <c r="H133" s="232"/>
      <c r="I133" s="83"/>
      <c r="J133" s="93"/>
      <c r="K133" s="93"/>
      <c r="L133" s="83"/>
      <c r="M133" s="93"/>
      <c r="N133" s="93"/>
      <c r="O133" s="83"/>
      <c r="P133" s="93"/>
      <c r="Q133" s="230"/>
      <c r="R133" s="230"/>
      <c r="S133" s="230"/>
      <c r="T133" s="83"/>
      <c r="U133" s="93"/>
      <c r="V133" s="83"/>
      <c r="W133" s="93"/>
      <c r="X133" s="93"/>
      <c r="Y133" s="83"/>
      <c r="Z133" s="93"/>
      <c r="AA133" s="93"/>
      <c r="AB133" s="83"/>
      <c r="AC133" s="93"/>
      <c r="AD133" s="93"/>
      <c r="AE133" s="83"/>
      <c r="AF133" s="93"/>
      <c r="AG133" s="93"/>
      <c r="AH133" s="83"/>
      <c r="AI133" s="93"/>
      <c r="AJ133" s="93"/>
      <c r="AK133" s="85"/>
      <c r="AL133" s="12"/>
      <c r="AN133" s="6"/>
      <c r="AO133" s="6"/>
      <c r="AP133" s="6"/>
      <c r="AQ133" s="6"/>
      <c r="AR133" s="6"/>
      <c r="AS133" s="6"/>
      <c r="AT133" s="6"/>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row>
    <row r="134" spans="1:105" ht="12" customHeight="1" x14ac:dyDescent="0.3">
      <c r="A134" s="113"/>
      <c r="B134" s="114"/>
      <c r="C134" s="115"/>
      <c r="D134" s="115"/>
      <c r="E134" s="115"/>
      <c r="F134" s="115"/>
      <c r="G134" s="93"/>
      <c r="H134" s="93"/>
      <c r="I134" s="83"/>
      <c r="J134" s="93"/>
      <c r="K134" s="93"/>
      <c r="L134" s="83"/>
      <c r="M134" s="93"/>
      <c r="N134" s="93"/>
      <c r="O134" s="83"/>
      <c r="P134" s="93"/>
      <c r="Q134" s="93"/>
      <c r="R134" s="93"/>
      <c r="S134" s="93"/>
      <c r="T134" s="83"/>
      <c r="U134" s="93"/>
      <c r="V134" s="83"/>
      <c r="W134" s="93"/>
      <c r="X134" s="93"/>
      <c r="Y134" s="83"/>
      <c r="Z134" s="93"/>
      <c r="AA134" s="93"/>
      <c r="AB134" s="83"/>
      <c r="AC134" s="93"/>
      <c r="AD134" s="93"/>
      <c r="AE134" s="83"/>
      <c r="AF134" s="93"/>
      <c r="AG134" s="93"/>
      <c r="AH134" s="83"/>
      <c r="AI134" s="93"/>
      <c r="AJ134" s="93"/>
      <c r="AK134" s="85"/>
      <c r="AL134" s="12"/>
      <c r="AN134" s="6"/>
      <c r="AO134" s="6"/>
      <c r="AP134" s="6"/>
      <c r="AQ134" s="6"/>
      <c r="AR134" s="6"/>
      <c r="AS134" s="6"/>
      <c r="AT134" s="6"/>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row>
    <row r="135" spans="1:105" ht="12" customHeight="1" x14ac:dyDescent="0.25">
      <c r="A135" s="81">
        <v>3</v>
      </c>
      <c r="B135" s="79"/>
      <c r="C135" s="149"/>
      <c r="D135" s="227" t="s">
        <v>90</v>
      </c>
      <c r="E135" s="227"/>
      <c r="F135" s="227"/>
      <c r="G135" s="227"/>
      <c r="H135" s="227"/>
      <c r="I135" s="79"/>
      <c r="J135" s="149"/>
      <c r="K135" s="149" t="s">
        <v>91</v>
      </c>
      <c r="L135" s="79"/>
      <c r="M135" s="149"/>
      <c r="N135" s="149" t="s">
        <v>92</v>
      </c>
      <c r="O135" s="79"/>
      <c r="P135" s="149"/>
      <c r="Q135" s="227" t="s">
        <v>93</v>
      </c>
      <c r="R135" s="227"/>
      <c r="S135" s="227"/>
      <c r="T135" s="79"/>
      <c r="U135" s="149"/>
      <c r="V135" s="79"/>
      <c r="W135" s="149"/>
      <c r="X135" s="149" t="s">
        <v>94</v>
      </c>
      <c r="Y135" s="79"/>
      <c r="Z135" s="149"/>
      <c r="AA135" s="191" t="s">
        <v>95</v>
      </c>
      <c r="AB135" s="79"/>
      <c r="AC135" s="149"/>
      <c r="AD135" s="65">
        <v>2144100000</v>
      </c>
      <c r="AE135" s="79"/>
      <c r="AF135" s="149"/>
      <c r="AG135" s="192" t="s">
        <v>96</v>
      </c>
      <c r="AH135" s="79"/>
      <c r="AI135" s="149"/>
      <c r="AJ135" s="149"/>
      <c r="AK135" s="80"/>
      <c r="AL135" s="12"/>
      <c r="AN135" s="6"/>
      <c r="AO135" s="6"/>
      <c r="AP135" s="6"/>
      <c r="AQ135" s="6"/>
      <c r="AR135" s="6"/>
      <c r="AS135" s="6"/>
      <c r="AT135" s="6"/>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row>
    <row r="136" spans="1:105" ht="12" customHeight="1" x14ac:dyDescent="0.25">
      <c r="A136" s="81"/>
      <c r="B136" s="79"/>
      <c r="C136" s="149"/>
      <c r="D136" s="227"/>
      <c r="E136" s="227"/>
      <c r="F136" s="227"/>
      <c r="G136" s="227"/>
      <c r="H136" s="227"/>
      <c r="I136" s="79"/>
      <c r="J136" s="149"/>
      <c r="K136" s="149" t="s">
        <v>97</v>
      </c>
      <c r="L136" s="79"/>
      <c r="M136" s="149"/>
      <c r="N136" s="149"/>
      <c r="O136" s="79"/>
      <c r="P136" s="149"/>
      <c r="Q136" s="227"/>
      <c r="R136" s="227"/>
      <c r="S136" s="227"/>
      <c r="T136" s="79"/>
      <c r="U136" s="149"/>
      <c r="V136" s="79"/>
      <c r="W136" s="149"/>
      <c r="X136" s="149"/>
      <c r="Y136" s="79"/>
      <c r="Z136" s="149"/>
      <c r="AA136" s="192" t="s">
        <v>98</v>
      </c>
      <c r="AB136" s="79"/>
      <c r="AC136" s="149"/>
      <c r="AD136" s="149"/>
      <c r="AE136" s="79"/>
      <c r="AF136" s="149"/>
      <c r="AG136" s="149"/>
      <c r="AH136" s="79"/>
      <c r="AI136" s="149"/>
      <c r="AJ136" s="149"/>
      <c r="AK136" s="80"/>
      <c r="AL136" s="12"/>
      <c r="AN136" s="6"/>
      <c r="AO136" s="6"/>
      <c r="AP136" s="6"/>
      <c r="AQ136" s="6"/>
      <c r="AR136" s="6"/>
      <c r="AS136" s="6"/>
      <c r="AT136" s="6"/>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row>
    <row r="137" spans="1:105" ht="12" customHeight="1" x14ac:dyDescent="0.25">
      <c r="A137" s="81"/>
      <c r="B137" s="79"/>
      <c r="C137" s="149"/>
      <c r="D137" s="149"/>
      <c r="E137" s="149"/>
      <c r="F137" s="149"/>
      <c r="G137" s="149"/>
      <c r="H137" s="149"/>
      <c r="I137" s="79"/>
      <c r="J137" s="149"/>
      <c r="K137" s="149"/>
      <c r="L137" s="79"/>
      <c r="M137" s="149"/>
      <c r="N137" s="149"/>
      <c r="O137" s="79"/>
      <c r="P137" s="149"/>
      <c r="Q137" s="227"/>
      <c r="R137" s="227"/>
      <c r="S137" s="227"/>
      <c r="T137" s="79"/>
      <c r="U137" s="149"/>
      <c r="V137" s="79"/>
      <c r="W137" s="149"/>
      <c r="X137" s="149"/>
      <c r="Y137" s="79"/>
      <c r="Z137" s="149"/>
      <c r="AA137" s="149"/>
      <c r="AB137" s="79"/>
      <c r="AC137" s="149"/>
      <c r="AD137" s="149"/>
      <c r="AE137" s="79"/>
      <c r="AF137" s="149"/>
      <c r="AG137" s="149"/>
      <c r="AH137" s="79"/>
      <c r="AI137" s="149"/>
      <c r="AJ137" s="149"/>
      <c r="AK137" s="80"/>
      <c r="AL137" s="12"/>
      <c r="AN137" s="6"/>
      <c r="AO137" s="6"/>
      <c r="AP137" s="6"/>
      <c r="AQ137" s="6"/>
      <c r="AR137" s="6"/>
      <c r="AS137" s="6"/>
      <c r="AT137" s="6"/>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row>
    <row r="138" spans="1:105" ht="12" customHeight="1" x14ac:dyDescent="0.25">
      <c r="A138" s="81"/>
      <c r="B138" s="79"/>
      <c r="C138" s="149"/>
      <c r="D138" s="149"/>
      <c r="E138" s="149"/>
      <c r="F138" s="149"/>
      <c r="G138" s="149"/>
      <c r="H138" s="149"/>
      <c r="I138" s="79"/>
      <c r="J138" s="149"/>
      <c r="K138" s="149"/>
      <c r="L138" s="79"/>
      <c r="M138" s="149"/>
      <c r="N138" s="149"/>
      <c r="O138" s="79"/>
      <c r="P138" s="149"/>
      <c r="Q138" s="227"/>
      <c r="R138" s="227"/>
      <c r="S138" s="227"/>
      <c r="T138" s="79"/>
      <c r="U138" s="149"/>
      <c r="V138" s="79"/>
      <c r="W138" s="149"/>
      <c r="X138" s="149"/>
      <c r="Y138" s="79"/>
      <c r="Z138" s="149"/>
      <c r="AA138" s="149"/>
      <c r="AB138" s="79"/>
      <c r="AC138" s="149"/>
      <c r="AD138" s="149"/>
      <c r="AE138" s="79"/>
      <c r="AF138" s="149"/>
      <c r="AG138" s="149"/>
      <c r="AH138" s="79"/>
      <c r="AI138" s="149"/>
      <c r="AJ138" s="149"/>
      <c r="AK138" s="80"/>
      <c r="AL138" s="12"/>
      <c r="AN138" s="6"/>
      <c r="AO138" s="6"/>
      <c r="AP138" s="6"/>
      <c r="AQ138" s="6"/>
      <c r="AR138" s="6"/>
      <c r="AS138" s="6"/>
      <c r="AT138" s="6"/>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row>
    <row r="139" spans="1:105" ht="12" customHeight="1" x14ac:dyDescent="0.25">
      <c r="A139" s="81"/>
      <c r="B139" s="79"/>
      <c r="C139" s="149"/>
      <c r="D139" s="149"/>
      <c r="E139" s="149"/>
      <c r="F139" s="149"/>
      <c r="G139" s="149"/>
      <c r="H139" s="149"/>
      <c r="I139" s="79"/>
      <c r="J139" s="149"/>
      <c r="K139" s="149"/>
      <c r="L139" s="79"/>
      <c r="M139" s="149"/>
      <c r="N139" s="149"/>
      <c r="O139" s="79"/>
      <c r="P139" s="149"/>
      <c r="Q139" s="227"/>
      <c r="R139" s="227"/>
      <c r="S139" s="227"/>
      <c r="T139" s="79"/>
      <c r="U139" s="149"/>
      <c r="V139" s="79"/>
      <c r="W139" s="149"/>
      <c r="X139" s="149"/>
      <c r="Y139" s="79"/>
      <c r="Z139" s="149"/>
      <c r="AA139" s="149"/>
      <c r="AB139" s="79"/>
      <c r="AC139" s="149"/>
      <c r="AD139" s="149"/>
      <c r="AE139" s="79"/>
      <c r="AF139" s="149"/>
      <c r="AG139" s="149"/>
      <c r="AH139" s="79"/>
      <c r="AI139" s="149"/>
      <c r="AJ139" s="149"/>
      <c r="AK139" s="80"/>
      <c r="AL139" s="12"/>
      <c r="AN139" s="6"/>
      <c r="AO139" s="6"/>
      <c r="AP139" s="6"/>
      <c r="AQ139" s="6"/>
      <c r="AR139" s="6"/>
      <c r="AS139" s="6"/>
      <c r="AT139" s="6"/>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row>
    <row r="140" spans="1:105" ht="12" customHeight="1" x14ac:dyDescent="0.25">
      <c r="A140" s="81"/>
      <c r="B140" s="79"/>
      <c r="C140" s="149"/>
      <c r="D140" s="149"/>
      <c r="E140" s="149"/>
      <c r="F140" s="149"/>
      <c r="G140" s="149"/>
      <c r="H140" s="149"/>
      <c r="I140" s="79"/>
      <c r="J140" s="149"/>
      <c r="K140" s="149"/>
      <c r="L140" s="79"/>
      <c r="M140" s="149"/>
      <c r="N140" s="149"/>
      <c r="O140" s="79"/>
      <c r="P140" s="149"/>
      <c r="Q140" s="149"/>
      <c r="R140" s="149"/>
      <c r="S140" s="149"/>
      <c r="T140" s="79"/>
      <c r="U140" s="149"/>
      <c r="V140" s="79"/>
      <c r="W140" s="149"/>
      <c r="X140" s="149"/>
      <c r="Y140" s="79"/>
      <c r="Z140" s="149"/>
      <c r="AA140" s="149"/>
      <c r="AB140" s="79"/>
      <c r="AC140" s="149"/>
      <c r="AD140" s="149"/>
      <c r="AE140" s="79"/>
      <c r="AF140" s="149"/>
      <c r="AG140" s="149"/>
      <c r="AH140" s="79"/>
      <c r="AI140" s="149"/>
      <c r="AJ140" s="149"/>
      <c r="AK140" s="80"/>
      <c r="AL140" s="12"/>
      <c r="AN140" s="6"/>
      <c r="AO140" s="6"/>
      <c r="AP140" s="6"/>
      <c r="AQ140" s="6"/>
      <c r="AR140" s="6"/>
      <c r="AS140" s="6"/>
      <c r="AT140" s="6"/>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row>
    <row r="141" spans="1:105" ht="12" customHeight="1" x14ac:dyDescent="0.25">
      <c r="A141" s="81">
        <v>4</v>
      </c>
      <c r="B141" s="79"/>
      <c r="C141" s="149"/>
      <c r="D141" s="227" t="s">
        <v>99</v>
      </c>
      <c r="E141" s="227"/>
      <c r="F141" s="227"/>
      <c r="G141" s="227"/>
      <c r="H141" s="227"/>
      <c r="I141" s="79"/>
      <c r="J141" s="149"/>
      <c r="K141" s="149" t="s">
        <v>100</v>
      </c>
      <c r="L141" s="79"/>
      <c r="M141" s="149"/>
      <c r="N141" s="149" t="s">
        <v>22</v>
      </c>
      <c r="O141" s="79"/>
      <c r="P141" s="149"/>
      <c r="Q141" s="93" t="s">
        <v>101</v>
      </c>
      <c r="R141" s="93"/>
      <c r="S141" s="93"/>
      <c r="T141" s="83"/>
      <c r="U141" s="93"/>
      <c r="V141" s="83"/>
      <c r="W141" s="93"/>
      <c r="X141" s="93" t="s">
        <v>22</v>
      </c>
      <c r="Y141" s="79"/>
      <c r="Z141" s="149"/>
      <c r="AA141" s="149" t="s">
        <v>102</v>
      </c>
      <c r="AB141" s="79"/>
      <c r="AC141" s="149"/>
      <c r="AD141" s="65">
        <v>843000000</v>
      </c>
      <c r="AE141" s="79"/>
      <c r="AF141" s="149"/>
      <c r="AG141" s="149" t="s">
        <v>103</v>
      </c>
      <c r="AH141" s="79"/>
      <c r="AI141" s="149"/>
      <c r="AJ141" s="149"/>
      <c r="AK141" s="80"/>
      <c r="AL141" s="12"/>
      <c r="AN141" s="6"/>
      <c r="AO141" s="6"/>
      <c r="AP141" s="6"/>
      <c r="AQ141" s="6"/>
      <c r="AR141" s="6"/>
      <c r="AS141" s="6"/>
      <c r="AT141" s="6"/>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row>
    <row r="142" spans="1:105" ht="12" customHeight="1" x14ac:dyDescent="0.25">
      <c r="A142" s="81"/>
      <c r="B142" s="79"/>
      <c r="C142" s="149"/>
      <c r="D142" s="227"/>
      <c r="E142" s="227"/>
      <c r="F142" s="227"/>
      <c r="G142" s="227"/>
      <c r="H142" s="227"/>
      <c r="I142" s="79"/>
      <c r="J142" s="149"/>
      <c r="K142" s="149" t="s">
        <v>97</v>
      </c>
      <c r="L142" s="79"/>
      <c r="M142" s="149"/>
      <c r="N142" s="149"/>
      <c r="O142" s="79"/>
      <c r="P142" s="149"/>
      <c r="Q142" s="149"/>
      <c r="R142" s="149"/>
      <c r="S142" s="149"/>
      <c r="T142" s="79"/>
      <c r="U142" s="149"/>
      <c r="V142" s="79"/>
      <c r="W142" s="149"/>
      <c r="X142" s="149"/>
      <c r="Y142" s="79"/>
      <c r="Z142" s="149"/>
      <c r="AA142" s="192" t="s">
        <v>104</v>
      </c>
      <c r="AB142" s="79"/>
      <c r="AC142" s="149"/>
      <c r="AD142" s="149"/>
      <c r="AE142" s="79"/>
      <c r="AF142" s="149"/>
      <c r="AG142" s="149"/>
      <c r="AH142" s="79"/>
      <c r="AI142" s="149"/>
      <c r="AJ142" s="149"/>
      <c r="AK142" s="80"/>
      <c r="AL142" s="12"/>
      <c r="AN142" s="6"/>
      <c r="AO142" s="6"/>
      <c r="AP142" s="6"/>
      <c r="AQ142" s="6"/>
      <c r="AR142" s="6"/>
      <c r="AS142" s="6"/>
      <c r="AT142" s="6"/>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row>
    <row r="143" spans="1:105" ht="12" customHeight="1" x14ac:dyDescent="0.25">
      <c r="A143" s="81"/>
      <c r="B143" s="79"/>
      <c r="C143" s="149"/>
      <c r="D143" s="232"/>
      <c r="E143" s="232"/>
      <c r="F143" s="232"/>
      <c r="G143" s="232"/>
      <c r="H143" s="232"/>
      <c r="I143" s="79"/>
      <c r="J143" s="149"/>
      <c r="K143" s="149"/>
      <c r="L143" s="79"/>
      <c r="M143" s="149"/>
      <c r="N143" s="149"/>
      <c r="O143" s="79"/>
      <c r="P143" s="149"/>
      <c r="Q143" s="149"/>
      <c r="R143" s="149"/>
      <c r="S143" s="149"/>
      <c r="T143" s="79"/>
      <c r="U143" s="149"/>
      <c r="V143" s="79"/>
      <c r="W143" s="149"/>
      <c r="X143" s="149"/>
      <c r="Y143" s="79"/>
      <c r="Z143" s="149"/>
      <c r="AA143" s="149"/>
      <c r="AB143" s="79"/>
      <c r="AC143" s="149"/>
      <c r="AD143" s="149"/>
      <c r="AE143" s="79"/>
      <c r="AF143" s="149"/>
      <c r="AG143" s="149"/>
      <c r="AH143" s="79"/>
      <c r="AI143" s="149"/>
      <c r="AJ143" s="149"/>
      <c r="AK143" s="80"/>
      <c r="AL143" s="12"/>
      <c r="AN143" s="6"/>
      <c r="AO143" s="6"/>
      <c r="AP143" s="6"/>
      <c r="AQ143" s="6"/>
      <c r="AR143" s="6"/>
      <c r="AS143" s="6"/>
      <c r="AT143" s="6"/>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row>
    <row r="144" spans="1:105" ht="12" customHeight="1" x14ac:dyDescent="0.25">
      <c r="A144" s="81"/>
      <c r="B144" s="79"/>
      <c r="C144" s="149"/>
      <c r="D144" s="149"/>
      <c r="E144" s="149"/>
      <c r="F144" s="149"/>
      <c r="G144" s="149"/>
      <c r="H144" s="149"/>
      <c r="I144" s="79"/>
      <c r="J144" s="149"/>
      <c r="K144" s="149"/>
      <c r="L144" s="79"/>
      <c r="M144" s="149"/>
      <c r="N144" s="149"/>
      <c r="O144" s="79"/>
      <c r="P144" s="149"/>
      <c r="Q144" s="149"/>
      <c r="R144" s="149"/>
      <c r="S144" s="149"/>
      <c r="T144" s="79"/>
      <c r="U144" s="149"/>
      <c r="V144" s="79"/>
      <c r="W144" s="149"/>
      <c r="X144" s="149"/>
      <c r="Y144" s="79"/>
      <c r="Z144" s="149"/>
      <c r="AA144" s="149"/>
      <c r="AB144" s="79"/>
      <c r="AC144" s="149"/>
      <c r="AD144" s="149"/>
      <c r="AE144" s="79"/>
      <c r="AF144" s="149"/>
      <c r="AG144" s="149"/>
      <c r="AH144" s="79"/>
      <c r="AI144" s="149"/>
      <c r="AJ144" s="149"/>
      <c r="AK144" s="80"/>
      <c r="AL144" s="12"/>
      <c r="AN144" s="6"/>
      <c r="AO144" s="6"/>
      <c r="AP144" s="6"/>
      <c r="AQ144" s="6"/>
      <c r="AR144" s="6"/>
      <c r="AS144" s="6"/>
      <c r="AT144" s="6"/>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row>
    <row r="145" spans="1:105" ht="12" customHeight="1" x14ac:dyDescent="0.25">
      <c r="A145" s="81">
        <v>5</v>
      </c>
      <c r="B145" s="79"/>
      <c r="C145" s="149"/>
      <c r="D145" s="227" t="s">
        <v>105</v>
      </c>
      <c r="E145" s="227"/>
      <c r="F145" s="227"/>
      <c r="G145" s="227"/>
      <c r="H145" s="227"/>
      <c r="I145" s="79"/>
      <c r="J145" s="149"/>
      <c r="K145" s="149" t="s">
        <v>100</v>
      </c>
      <c r="L145" s="79"/>
      <c r="M145" s="149"/>
      <c r="N145" s="149" t="s">
        <v>106</v>
      </c>
      <c r="O145" s="79"/>
      <c r="P145" s="149"/>
      <c r="Q145" s="227" t="s">
        <v>107</v>
      </c>
      <c r="R145" s="227"/>
      <c r="S145" s="227"/>
      <c r="T145" s="79"/>
      <c r="U145" s="149"/>
      <c r="V145" s="79"/>
      <c r="W145" s="149"/>
      <c r="X145" s="149" t="s">
        <v>108</v>
      </c>
      <c r="Y145" s="79"/>
      <c r="Z145" s="149"/>
      <c r="AA145" s="149" t="s">
        <v>109</v>
      </c>
      <c r="AB145" s="79"/>
      <c r="AC145" s="149"/>
      <c r="AD145" s="65">
        <v>826684500</v>
      </c>
      <c r="AE145" s="79"/>
      <c r="AF145" s="149"/>
      <c r="AG145" s="192" t="s">
        <v>110</v>
      </c>
      <c r="AH145" s="79"/>
      <c r="AI145" s="149"/>
      <c r="AJ145" s="149"/>
      <c r="AK145" s="80"/>
      <c r="AL145" s="12"/>
      <c r="AN145" s="6"/>
      <c r="AO145" s="6"/>
      <c r="AP145" s="6"/>
      <c r="AQ145" s="6"/>
      <c r="AR145" s="6"/>
      <c r="AS145" s="6"/>
      <c r="AT145" s="6"/>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row>
    <row r="146" spans="1:105" ht="12" customHeight="1" x14ac:dyDescent="0.25">
      <c r="A146" s="81"/>
      <c r="B146" s="79"/>
      <c r="C146" s="149"/>
      <c r="D146" s="227"/>
      <c r="E146" s="227"/>
      <c r="F146" s="227"/>
      <c r="G146" s="227"/>
      <c r="H146" s="227"/>
      <c r="I146" s="79"/>
      <c r="J146" s="149"/>
      <c r="K146" s="149" t="s">
        <v>97</v>
      </c>
      <c r="L146" s="79"/>
      <c r="M146" s="149"/>
      <c r="N146" s="149"/>
      <c r="O146" s="79"/>
      <c r="P146" s="149"/>
      <c r="Q146" s="227"/>
      <c r="R146" s="227"/>
      <c r="S146" s="227"/>
      <c r="T146" s="79"/>
      <c r="U146" s="149"/>
      <c r="V146" s="79"/>
      <c r="W146" s="149"/>
      <c r="X146" s="149"/>
      <c r="Y146" s="79"/>
      <c r="Z146" s="149"/>
      <c r="AA146" s="192" t="s">
        <v>111</v>
      </c>
      <c r="AB146" s="79"/>
      <c r="AC146" s="149"/>
      <c r="AD146" s="149"/>
      <c r="AE146" s="79"/>
      <c r="AF146" s="149"/>
      <c r="AG146" s="149"/>
      <c r="AH146" s="79"/>
      <c r="AI146" s="149"/>
      <c r="AJ146" s="149"/>
      <c r="AK146" s="80"/>
      <c r="AL146" s="12"/>
      <c r="AN146" s="6"/>
      <c r="AO146" s="6"/>
      <c r="AP146" s="6"/>
      <c r="AQ146" s="6"/>
      <c r="AR146" s="6"/>
      <c r="AS146" s="6"/>
      <c r="AT146" s="6"/>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row>
    <row r="147" spans="1:105" ht="12" customHeight="1" x14ac:dyDescent="0.25">
      <c r="A147" s="81"/>
      <c r="B147" s="79"/>
      <c r="C147" s="149"/>
      <c r="D147" s="149"/>
      <c r="E147" s="149"/>
      <c r="F147" s="149"/>
      <c r="G147" s="149"/>
      <c r="H147" s="149"/>
      <c r="I147" s="79"/>
      <c r="J147" s="149"/>
      <c r="K147" s="149"/>
      <c r="L147" s="79"/>
      <c r="M147" s="149"/>
      <c r="N147" s="149"/>
      <c r="O147" s="79"/>
      <c r="P147" s="149"/>
      <c r="Q147" s="227"/>
      <c r="R147" s="227"/>
      <c r="S147" s="227"/>
      <c r="T147" s="79"/>
      <c r="U147" s="149"/>
      <c r="V147" s="79"/>
      <c r="W147" s="149"/>
      <c r="X147" s="149"/>
      <c r="Y147" s="79"/>
      <c r="Z147" s="149"/>
      <c r="AA147" s="149"/>
      <c r="AB147" s="79"/>
      <c r="AC147" s="149"/>
      <c r="AD147" s="149"/>
      <c r="AE147" s="79"/>
      <c r="AF147" s="149"/>
      <c r="AG147" s="149"/>
      <c r="AH147" s="79"/>
      <c r="AI147" s="149"/>
      <c r="AJ147" s="149"/>
      <c r="AK147" s="80"/>
      <c r="AL147" s="12"/>
      <c r="AN147" s="6"/>
      <c r="AO147" s="6"/>
      <c r="AP147" s="6"/>
      <c r="AQ147" s="6"/>
      <c r="AR147" s="6"/>
      <c r="AS147" s="6"/>
      <c r="AT147" s="6"/>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row>
    <row r="148" spans="1:105" ht="12" customHeight="1" x14ac:dyDescent="0.25">
      <c r="A148" s="81"/>
      <c r="B148" s="79"/>
      <c r="C148" s="149"/>
      <c r="D148" s="149"/>
      <c r="E148" s="149"/>
      <c r="F148" s="149"/>
      <c r="G148" s="149"/>
      <c r="H148" s="149"/>
      <c r="I148" s="79"/>
      <c r="J148" s="149"/>
      <c r="K148" s="149"/>
      <c r="L148" s="79"/>
      <c r="M148" s="149"/>
      <c r="N148" s="149"/>
      <c r="O148" s="79"/>
      <c r="P148" s="149"/>
      <c r="Q148" s="227"/>
      <c r="R148" s="227"/>
      <c r="S148" s="227"/>
      <c r="T148" s="79"/>
      <c r="U148" s="149"/>
      <c r="V148" s="79"/>
      <c r="W148" s="149"/>
      <c r="X148" s="149"/>
      <c r="Y148" s="79"/>
      <c r="Z148" s="149"/>
      <c r="AA148" s="149"/>
      <c r="AB148" s="79"/>
      <c r="AC148" s="149"/>
      <c r="AD148" s="149"/>
      <c r="AE148" s="79"/>
      <c r="AF148" s="149"/>
      <c r="AG148" s="149"/>
      <c r="AH148" s="79"/>
      <c r="AI148" s="149"/>
      <c r="AJ148" s="149"/>
      <c r="AK148" s="80"/>
      <c r="AL148" s="12"/>
      <c r="AN148" s="6"/>
      <c r="AO148" s="6"/>
      <c r="AP148" s="6"/>
      <c r="AQ148" s="6"/>
      <c r="AR148" s="6"/>
      <c r="AS148" s="6"/>
      <c r="AT148" s="6"/>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row>
    <row r="149" spans="1:105" ht="12" customHeight="1" x14ac:dyDescent="0.25">
      <c r="A149" s="81"/>
      <c r="B149" s="79"/>
      <c r="C149" s="149"/>
      <c r="D149" s="149"/>
      <c r="E149" s="149"/>
      <c r="F149" s="149"/>
      <c r="G149" s="149"/>
      <c r="H149" s="149"/>
      <c r="I149" s="79"/>
      <c r="J149" s="149"/>
      <c r="K149" s="149"/>
      <c r="L149" s="79"/>
      <c r="M149" s="149"/>
      <c r="N149" s="149"/>
      <c r="O149" s="79"/>
      <c r="P149" s="149"/>
      <c r="Q149" s="227"/>
      <c r="R149" s="227"/>
      <c r="S149" s="227"/>
      <c r="T149" s="79"/>
      <c r="U149" s="149"/>
      <c r="V149" s="79"/>
      <c r="W149" s="149"/>
      <c r="X149" s="149"/>
      <c r="Y149" s="79"/>
      <c r="Z149" s="149"/>
      <c r="AA149" s="149"/>
      <c r="AB149" s="79"/>
      <c r="AC149" s="149"/>
      <c r="AD149" s="149"/>
      <c r="AE149" s="79"/>
      <c r="AF149" s="149"/>
      <c r="AG149" s="149"/>
      <c r="AH149" s="79"/>
      <c r="AI149" s="149"/>
      <c r="AJ149" s="149"/>
      <c r="AK149" s="80"/>
      <c r="AL149" s="12"/>
      <c r="AN149" s="6"/>
      <c r="AO149" s="6"/>
      <c r="AP149" s="6"/>
      <c r="AQ149" s="6"/>
      <c r="AR149" s="6"/>
      <c r="AS149" s="6"/>
      <c r="AT149" s="6"/>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row>
    <row r="150" spans="1:105" ht="12" customHeight="1" x14ac:dyDescent="0.25">
      <c r="A150" s="81"/>
      <c r="B150" s="79"/>
      <c r="C150" s="149"/>
      <c r="D150" s="149"/>
      <c r="E150" s="149"/>
      <c r="F150" s="149"/>
      <c r="G150" s="149"/>
      <c r="H150" s="149"/>
      <c r="I150" s="79"/>
      <c r="J150" s="149"/>
      <c r="K150" s="149"/>
      <c r="L150" s="79"/>
      <c r="M150" s="149"/>
      <c r="N150" s="149"/>
      <c r="O150" s="79"/>
      <c r="P150" s="149"/>
      <c r="Q150" s="149"/>
      <c r="R150" s="149"/>
      <c r="S150" s="149"/>
      <c r="T150" s="79"/>
      <c r="U150" s="149"/>
      <c r="V150" s="79"/>
      <c r="W150" s="149"/>
      <c r="X150" s="149"/>
      <c r="Y150" s="79"/>
      <c r="Z150" s="149"/>
      <c r="AA150" s="149"/>
      <c r="AB150" s="79"/>
      <c r="AC150" s="149"/>
      <c r="AD150" s="149"/>
      <c r="AE150" s="79"/>
      <c r="AF150" s="149"/>
      <c r="AG150" s="149"/>
      <c r="AH150" s="79"/>
      <c r="AI150" s="149"/>
      <c r="AJ150" s="149"/>
      <c r="AK150" s="80"/>
      <c r="AL150" s="12"/>
      <c r="AN150" s="6"/>
      <c r="AO150" s="6"/>
      <c r="AP150" s="6"/>
      <c r="AQ150" s="6"/>
      <c r="AR150" s="6"/>
      <c r="AS150" s="6"/>
      <c r="AT150" s="6"/>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row>
    <row r="151" spans="1:105" ht="12" customHeight="1" x14ac:dyDescent="0.25">
      <c r="A151" s="84">
        <v>5</v>
      </c>
      <c r="B151" s="83"/>
      <c r="C151" s="93"/>
      <c r="D151" s="227" t="s">
        <v>112</v>
      </c>
      <c r="E151" s="227"/>
      <c r="F151" s="227"/>
      <c r="G151" s="227"/>
      <c r="H151" s="227"/>
      <c r="I151" s="83"/>
      <c r="J151" s="93"/>
      <c r="K151" s="100" t="s">
        <v>100</v>
      </c>
      <c r="L151" s="83"/>
      <c r="M151" s="93"/>
      <c r="N151" s="93" t="s">
        <v>22</v>
      </c>
      <c r="O151" s="83"/>
      <c r="P151" s="93"/>
      <c r="Q151" s="93" t="s">
        <v>101</v>
      </c>
      <c r="R151" s="93"/>
      <c r="S151" s="93"/>
      <c r="T151" s="83"/>
      <c r="U151" s="93"/>
      <c r="V151" s="83"/>
      <c r="W151" s="93"/>
      <c r="X151" s="93" t="s">
        <v>22</v>
      </c>
      <c r="Y151" s="83"/>
      <c r="Z151" s="93"/>
      <c r="AA151" s="93" t="s">
        <v>113</v>
      </c>
      <c r="AB151" s="83"/>
      <c r="AC151" s="93"/>
      <c r="AD151" s="65">
        <v>170993974</v>
      </c>
      <c r="AE151" s="83"/>
      <c r="AF151" s="93"/>
      <c r="AG151" s="93"/>
      <c r="AH151" s="83"/>
      <c r="AI151" s="93"/>
      <c r="AJ151" s="101" t="s">
        <v>114</v>
      </c>
      <c r="AK151" s="85"/>
      <c r="AL151" s="12"/>
      <c r="AN151" s="6"/>
      <c r="AO151" s="6"/>
      <c r="AP151" s="6"/>
      <c r="AQ151" s="6"/>
      <c r="AR151" s="6"/>
      <c r="AS151" s="6"/>
      <c r="AT151" s="6"/>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row>
    <row r="152" spans="1:105" ht="12" customHeight="1" x14ac:dyDescent="0.25">
      <c r="A152" s="84"/>
      <c r="B152" s="83"/>
      <c r="C152" s="93"/>
      <c r="D152" s="227"/>
      <c r="E152" s="227"/>
      <c r="F152" s="227"/>
      <c r="G152" s="227"/>
      <c r="H152" s="227"/>
      <c r="I152" s="83"/>
      <c r="J152" s="93"/>
      <c r="K152" s="162" t="s">
        <v>115</v>
      </c>
      <c r="L152" s="83"/>
      <c r="M152" s="93"/>
      <c r="N152" s="93"/>
      <c r="O152" s="83"/>
      <c r="P152" s="93"/>
      <c r="Q152" s="93"/>
      <c r="R152" s="93"/>
      <c r="S152" s="93"/>
      <c r="T152" s="83"/>
      <c r="U152" s="93"/>
      <c r="V152" s="83"/>
      <c r="W152" s="93"/>
      <c r="X152" s="93"/>
      <c r="Y152" s="83"/>
      <c r="Z152" s="93"/>
      <c r="AA152" s="101" t="s">
        <v>116</v>
      </c>
      <c r="AB152" s="83"/>
      <c r="AC152" s="93"/>
      <c r="AD152" s="93"/>
      <c r="AE152" s="83"/>
      <c r="AF152" s="93"/>
      <c r="AG152" s="93"/>
      <c r="AH152" s="83"/>
      <c r="AI152" s="93"/>
      <c r="AJ152" s="93"/>
      <c r="AK152" s="85"/>
      <c r="AL152" s="12"/>
      <c r="AN152" s="6"/>
      <c r="AO152" s="6"/>
      <c r="AP152" s="6"/>
      <c r="AQ152" s="6"/>
      <c r="AR152" s="6"/>
      <c r="AS152" s="6"/>
      <c r="AT152" s="6"/>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row>
    <row r="153" spans="1:105" ht="12" customHeight="1" x14ac:dyDescent="0.25">
      <c r="A153" s="84"/>
      <c r="B153" s="83"/>
      <c r="C153" s="93"/>
      <c r="D153" s="232"/>
      <c r="E153" s="232"/>
      <c r="F153" s="232"/>
      <c r="G153" s="232"/>
      <c r="H153" s="232"/>
      <c r="I153" s="83"/>
      <c r="J153" s="93"/>
      <c r="K153" s="93"/>
      <c r="L153" s="83"/>
      <c r="M153" s="93"/>
      <c r="N153" s="93"/>
      <c r="O153" s="83"/>
      <c r="P153" s="93"/>
      <c r="Q153" s="93"/>
      <c r="R153" s="93"/>
      <c r="S153" s="93"/>
      <c r="T153" s="83"/>
      <c r="U153" s="93"/>
      <c r="V153" s="83"/>
      <c r="W153" s="93"/>
      <c r="X153" s="93"/>
      <c r="Y153" s="83"/>
      <c r="Z153" s="93"/>
      <c r="AA153" s="93"/>
      <c r="AB153" s="83"/>
      <c r="AC153" s="93"/>
      <c r="AD153" s="93"/>
      <c r="AE153" s="83"/>
      <c r="AF153" s="93"/>
      <c r="AG153" s="93"/>
      <c r="AH153" s="83"/>
      <c r="AI153" s="93"/>
      <c r="AJ153" s="93"/>
      <c r="AK153" s="85"/>
      <c r="AL153" s="12"/>
      <c r="AN153" s="6"/>
      <c r="AO153" s="6"/>
      <c r="AP153" s="6"/>
      <c r="AQ153" s="6"/>
      <c r="AR153" s="6"/>
      <c r="AS153" s="6"/>
      <c r="AT153" s="6"/>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row>
    <row r="154" spans="1:105" ht="12" customHeight="1" x14ac:dyDescent="0.25">
      <c r="A154" s="84"/>
      <c r="B154" s="83"/>
      <c r="C154" s="93"/>
      <c r="D154" s="93"/>
      <c r="E154" s="93"/>
      <c r="F154" s="93"/>
      <c r="G154" s="93"/>
      <c r="H154" s="93"/>
      <c r="I154" s="83"/>
      <c r="J154" s="93"/>
      <c r="K154" s="93"/>
      <c r="L154" s="83"/>
      <c r="M154" s="93"/>
      <c r="N154" s="93"/>
      <c r="O154" s="83"/>
      <c r="P154" s="93"/>
      <c r="Q154" s="93"/>
      <c r="R154" s="93"/>
      <c r="S154" s="93"/>
      <c r="T154" s="83"/>
      <c r="U154" s="93"/>
      <c r="V154" s="83"/>
      <c r="W154" s="93"/>
      <c r="X154" s="93"/>
      <c r="Y154" s="83"/>
      <c r="Z154" s="93"/>
      <c r="AA154" s="93"/>
      <c r="AB154" s="83"/>
      <c r="AC154" s="93"/>
      <c r="AD154" s="93"/>
      <c r="AE154" s="83"/>
      <c r="AF154" s="93"/>
      <c r="AG154" s="93"/>
      <c r="AH154" s="83"/>
      <c r="AI154" s="93"/>
      <c r="AJ154" s="93"/>
      <c r="AK154" s="85"/>
      <c r="AL154" s="12"/>
      <c r="AN154" s="6"/>
      <c r="AO154" s="6"/>
      <c r="AP154" s="6"/>
      <c r="AQ154" s="6"/>
      <c r="AR154" s="6"/>
      <c r="AS154" s="6"/>
      <c r="AT154" s="6"/>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row>
    <row r="155" spans="1:105" ht="12" customHeight="1" x14ac:dyDescent="0.25">
      <c r="A155" s="81"/>
      <c r="B155" s="149"/>
      <c r="C155" s="150"/>
      <c r="D155" s="149"/>
      <c r="E155" s="149"/>
      <c r="F155" s="149"/>
      <c r="G155" s="149"/>
      <c r="H155" s="149"/>
      <c r="I155" s="149"/>
      <c r="J155" s="149"/>
      <c r="K155" s="149"/>
      <c r="L155" s="79"/>
      <c r="M155" s="149"/>
      <c r="N155" s="149"/>
      <c r="O155" s="149"/>
      <c r="P155" s="150"/>
      <c r="Q155" s="149"/>
      <c r="R155" s="149"/>
      <c r="S155" s="149"/>
      <c r="T155" s="149"/>
      <c r="U155" s="149"/>
      <c r="V155" s="79"/>
      <c r="W155" s="149"/>
      <c r="X155" s="149"/>
      <c r="Y155" s="149"/>
      <c r="Z155" s="150"/>
      <c r="AA155" s="149"/>
      <c r="AB155" s="79"/>
      <c r="AC155" s="149"/>
      <c r="AD155" s="149"/>
      <c r="AE155" s="149"/>
      <c r="AF155" s="150"/>
      <c r="AG155" s="149"/>
      <c r="AH155" s="79"/>
      <c r="AI155" s="149"/>
      <c r="AJ155" s="149"/>
      <c r="AK155" s="80"/>
      <c r="AL155" s="12"/>
      <c r="AN155" s="6"/>
      <c r="AO155" s="6"/>
      <c r="AP155" s="6"/>
      <c r="AQ155" s="6"/>
      <c r="AR155" s="6"/>
      <c r="AS155" s="6"/>
      <c r="AT155" s="6"/>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row>
    <row r="156" spans="1:105" ht="12" customHeight="1" x14ac:dyDescent="0.3">
      <c r="A156" s="102" t="s">
        <v>168</v>
      </c>
      <c r="B156" s="103"/>
      <c r="C156" s="108"/>
      <c r="D156" s="108" t="s">
        <v>169</v>
      </c>
      <c r="E156" s="108"/>
      <c r="F156" s="108"/>
      <c r="G156" s="151"/>
      <c r="H156" s="151"/>
      <c r="I156" s="106"/>
      <c r="J156" s="151"/>
      <c r="K156" s="151"/>
      <c r="L156" s="106"/>
      <c r="M156" s="151"/>
      <c r="N156" s="151"/>
      <c r="O156" s="106"/>
      <c r="P156" s="151"/>
      <c r="Q156" s="151"/>
      <c r="R156" s="151"/>
      <c r="S156" s="151"/>
      <c r="T156" s="106"/>
      <c r="U156" s="151"/>
      <c r="V156" s="106"/>
      <c r="W156" s="151"/>
      <c r="X156" s="151"/>
      <c r="Y156" s="106"/>
      <c r="Z156" s="151"/>
      <c r="AA156" s="151"/>
      <c r="AB156" s="106"/>
      <c r="AC156" s="151"/>
      <c r="AD156" s="151"/>
      <c r="AE156" s="106"/>
      <c r="AF156" s="151"/>
      <c r="AG156" s="151"/>
      <c r="AH156" s="106"/>
      <c r="AI156" s="151"/>
      <c r="AJ156" s="151"/>
      <c r="AK156" s="107"/>
      <c r="AL156" s="12"/>
      <c r="AN156" s="6"/>
      <c r="AO156" s="6"/>
      <c r="AP156" s="6"/>
      <c r="AQ156" s="6"/>
      <c r="AR156" s="6"/>
      <c r="AS156" s="6"/>
      <c r="AT156" s="6"/>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row>
    <row r="157" spans="1:105" ht="12" customHeight="1" x14ac:dyDescent="0.25">
      <c r="A157" s="121">
        <v>1</v>
      </c>
      <c r="B157" s="122"/>
      <c r="C157" s="152"/>
      <c r="D157" s="227" t="s">
        <v>172</v>
      </c>
      <c r="E157" s="227"/>
      <c r="F157" s="227"/>
      <c r="G157" s="227"/>
      <c r="H157" s="227"/>
      <c r="I157" s="122"/>
      <c r="J157" s="152"/>
      <c r="K157" s="152" t="s">
        <v>118</v>
      </c>
      <c r="L157" s="122"/>
      <c r="M157" s="152"/>
      <c r="N157" s="152" t="s">
        <v>173</v>
      </c>
      <c r="O157" s="122"/>
      <c r="P157" s="152"/>
      <c r="Q157" s="152" t="s">
        <v>174</v>
      </c>
      <c r="R157" s="152"/>
      <c r="S157" s="152"/>
      <c r="T157" s="122"/>
      <c r="U157" s="152"/>
      <c r="V157" s="122"/>
      <c r="W157" s="152"/>
      <c r="X157" s="152" t="s">
        <v>173</v>
      </c>
      <c r="Y157" s="122"/>
      <c r="Z157" s="152"/>
      <c r="AA157" s="152" t="s">
        <v>175</v>
      </c>
      <c r="AB157" s="122"/>
      <c r="AC157" s="152"/>
      <c r="AD157" s="54">
        <v>280000000</v>
      </c>
      <c r="AE157" s="122"/>
      <c r="AF157" s="152"/>
      <c r="AG157" s="153" t="s">
        <v>176</v>
      </c>
      <c r="AH157" s="122"/>
      <c r="AI157" s="152"/>
      <c r="AJ157" s="153" t="s">
        <v>177</v>
      </c>
      <c r="AK157" s="124"/>
      <c r="AL157" s="12"/>
      <c r="AN157" s="6"/>
      <c r="AO157" s="6"/>
      <c r="AP157" s="6"/>
      <c r="AQ157" s="6"/>
      <c r="AR157" s="6"/>
      <c r="AS157" s="6"/>
      <c r="AT157" s="6"/>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row>
    <row r="158" spans="1:105" ht="12" customHeight="1" x14ac:dyDescent="0.25">
      <c r="A158" s="121"/>
      <c r="B158" s="122"/>
      <c r="C158" s="152"/>
      <c r="D158" s="227"/>
      <c r="E158" s="227"/>
      <c r="F158" s="227"/>
      <c r="G158" s="227"/>
      <c r="H158" s="227"/>
      <c r="I158" s="122"/>
      <c r="J158" s="152"/>
      <c r="K158" s="152"/>
      <c r="L158" s="122"/>
      <c r="M158" s="152"/>
      <c r="N158" s="152"/>
      <c r="O158" s="122"/>
      <c r="P158" s="152"/>
      <c r="Q158" s="152"/>
      <c r="R158" s="152"/>
      <c r="S158" s="152"/>
      <c r="T158" s="122"/>
      <c r="U158" s="152"/>
      <c r="V158" s="122"/>
      <c r="W158" s="152"/>
      <c r="X158" s="152"/>
      <c r="Y158" s="122"/>
      <c r="Z158" s="152"/>
      <c r="AA158" s="153" t="s">
        <v>178</v>
      </c>
      <c r="AB158" s="122"/>
      <c r="AC158" s="152"/>
      <c r="AD158" s="152"/>
      <c r="AE158" s="122"/>
      <c r="AF158" s="152"/>
      <c r="AG158" s="152"/>
      <c r="AH158" s="122"/>
      <c r="AI158" s="152"/>
      <c r="AJ158" s="152"/>
      <c r="AK158" s="124"/>
      <c r="AL158" s="12"/>
      <c r="AN158" s="6"/>
      <c r="AO158" s="6"/>
      <c r="AP158" s="6"/>
      <c r="AQ158" s="6"/>
      <c r="AR158" s="6"/>
      <c r="AS158" s="6"/>
      <c r="AT158" s="6"/>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row>
    <row r="159" spans="1:105" ht="12" customHeight="1" x14ac:dyDescent="0.25">
      <c r="A159" s="121"/>
      <c r="B159" s="122"/>
      <c r="C159" s="152"/>
      <c r="D159" s="227"/>
      <c r="E159" s="227"/>
      <c r="F159" s="227"/>
      <c r="G159" s="227"/>
      <c r="H159" s="227"/>
      <c r="I159" s="122"/>
      <c r="J159" s="152"/>
      <c r="K159" s="152"/>
      <c r="L159" s="122"/>
      <c r="M159" s="152"/>
      <c r="N159" s="152"/>
      <c r="O159" s="122"/>
      <c r="P159" s="152"/>
      <c r="Q159" s="152"/>
      <c r="R159" s="152"/>
      <c r="S159" s="152"/>
      <c r="T159" s="122"/>
      <c r="U159" s="152"/>
      <c r="V159" s="122"/>
      <c r="W159" s="152"/>
      <c r="X159" s="152"/>
      <c r="Y159" s="122"/>
      <c r="Z159" s="152"/>
      <c r="AA159" s="152"/>
      <c r="AB159" s="122"/>
      <c r="AC159" s="152"/>
      <c r="AD159" s="152"/>
      <c r="AE159" s="122"/>
      <c r="AF159" s="152"/>
      <c r="AG159" s="152"/>
      <c r="AH159" s="122"/>
      <c r="AI159" s="152"/>
      <c r="AJ159" s="152"/>
      <c r="AK159" s="124"/>
      <c r="AL159" s="12"/>
      <c r="AN159" s="6"/>
      <c r="AO159" s="6"/>
      <c r="AP159" s="6"/>
      <c r="AQ159" s="6"/>
      <c r="AR159" s="6"/>
      <c r="AS159" s="6"/>
      <c r="AT159" s="6"/>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row>
    <row r="160" spans="1:105" ht="12" customHeight="1" x14ac:dyDescent="0.25">
      <c r="A160" s="121"/>
      <c r="B160" s="122"/>
      <c r="C160" s="152"/>
      <c r="D160" s="152"/>
      <c r="E160" s="152"/>
      <c r="F160" s="152"/>
      <c r="G160" s="152"/>
      <c r="H160" s="152"/>
      <c r="I160" s="122"/>
      <c r="J160" s="152"/>
      <c r="K160" s="152"/>
      <c r="L160" s="122"/>
      <c r="M160" s="152"/>
      <c r="N160" s="152"/>
      <c r="O160" s="122"/>
      <c r="P160" s="152"/>
      <c r="Q160" s="152"/>
      <c r="R160" s="152"/>
      <c r="S160" s="152"/>
      <c r="T160" s="122"/>
      <c r="U160" s="152"/>
      <c r="V160" s="122"/>
      <c r="W160" s="152"/>
      <c r="X160" s="152"/>
      <c r="Y160" s="122"/>
      <c r="Z160" s="152"/>
      <c r="AA160" s="152"/>
      <c r="AB160" s="122"/>
      <c r="AC160" s="152"/>
      <c r="AD160" s="152"/>
      <c r="AE160" s="122"/>
      <c r="AF160" s="152"/>
      <c r="AG160" s="152"/>
      <c r="AH160" s="122"/>
      <c r="AI160" s="152"/>
      <c r="AJ160" s="152"/>
      <c r="AK160" s="124"/>
      <c r="AL160" s="12"/>
      <c r="AN160" s="6"/>
      <c r="AO160" s="6"/>
      <c r="AP160" s="6"/>
      <c r="AQ160" s="6"/>
      <c r="AR160" s="6"/>
      <c r="AS160" s="6"/>
      <c r="AT160" s="6"/>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row>
    <row r="161" spans="1:105" ht="12" customHeight="1" x14ac:dyDescent="0.25">
      <c r="A161" s="121">
        <f>A157+1</f>
        <v>2</v>
      </c>
      <c r="B161" s="122"/>
      <c r="C161" s="152"/>
      <c r="D161" s="227" t="s">
        <v>179</v>
      </c>
      <c r="E161" s="227"/>
      <c r="F161" s="227"/>
      <c r="G161" s="227"/>
      <c r="H161" s="227"/>
      <c r="I161" s="122"/>
      <c r="J161" s="152"/>
      <c r="K161" s="152" t="s">
        <v>118</v>
      </c>
      <c r="L161" s="122"/>
      <c r="M161" s="152"/>
      <c r="N161" s="152" t="s">
        <v>28</v>
      </c>
      <c r="O161" s="122"/>
      <c r="P161" s="152"/>
      <c r="Q161" s="152" t="s">
        <v>174</v>
      </c>
      <c r="R161" s="152"/>
      <c r="S161" s="152"/>
      <c r="T161" s="122"/>
      <c r="U161" s="152"/>
      <c r="V161" s="122"/>
      <c r="W161" s="152"/>
      <c r="X161" s="152" t="s">
        <v>173</v>
      </c>
      <c r="Y161" s="122"/>
      <c r="Z161" s="152"/>
      <c r="AA161" s="152" t="s">
        <v>180</v>
      </c>
      <c r="AB161" s="122"/>
      <c r="AC161" s="152"/>
      <c r="AD161" s="54">
        <v>310000000</v>
      </c>
      <c r="AE161" s="122"/>
      <c r="AF161" s="152"/>
      <c r="AG161" s="153" t="s">
        <v>181</v>
      </c>
      <c r="AH161" s="122"/>
      <c r="AI161" s="152"/>
      <c r="AJ161" s="153" t="s">
        <v>182</v>
      </c>
      <c r="AK161" s="124"/>
      <c r="AL161" s="12"/>
      <c r="AN161" s="6"/>
      <c r="AO161" s="6"/>
      <c r="AP161" s="6"/>
      <c r="AQ161" s="6"/>
      <c r="AR161" s="6"/>
      <c r="AS161" s="6"/>
      <c r="AT161" s="6"/>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row>
    <row r="162" spans="1:105" ht="12" customHeight="1" x14ac:dyDescent="0.25">
      <c r="A162" s="121"/>
      <c r="B162" s="122"/>
      <c r="C162" s="152"/>
      <c r="D162" s="227"/>
      <c r="E162" s="227"/>
      <c r="F162" s="227"/>
      <c r="G162" s="227"/>
      <c r="H162" s="227"/>
      <c r="I162" s="122"/>
      <c r="J162" s="152"/>
      <c r="K162" s="152"/>
      <c r="L162" s="122"/>
      <c r="M162" s="152"/>
      <c r="N162" s="152"/>
      <c r="O162" s="122"/>
      <c r="P162" s="152"/>
      <c r="Q162" s="152"/>
      <c r="R162" s="152"/>
      <c r="S162" s="152"/>
      <c r="T162" s="122"/>
      <c r="U162" s="152"/>
      <c r="V162" s="122"/>
      <c r="W162" s="152"/>
      <c r="X162" s="152"/>
      <c r="Y162" s="122"/>
      <c r="Z162" s="152"/>
      <c r="AA162" s="153" t="s">
        <v>183</v>
      </c>
      <c r="AB162" s="122"/>
      <c r="AC162" s="152"/>
      <c r="AD162" s="152"/>
      <c r="AE162" s="122"/>
      <c r="AF162" s="152"/>
      <c r="AG162" s="152"/>
      <c r="AH162" s="122"/>
      <c r="AI162" s="152"/>
      <c r="AJ162" s="152"/>
      <c r="AK162" s="124"/>
      <c r="AL162" s="12"/>
      <c r="AN162" s="6"/>
      <c r="AO162" s="6"/>
      <c r="AP162" s="6"/>
      <c r="AQ162" s="6"/>
      <c r="AR162" s="6"/>
      <c r="AS162" s="6"/>
      <c r="AT162" s="6"/>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row>
    <row r="163" spans="1:105" ht="12" customHeight="1" x14ac:dyDescent="0.25">
      <c r="A163" s="121"/>
      <c r="B163" s="122"/>
      <c r="C163" s="152"/>
      <c r="D163" s="152"/>
      <c r="E163" s="152"/>
      <c r="F163" s="152"/>
      <c r="G163" s="152"/>
      <c r="H163" s="152"/>
      <c r="I163" s="122"/>
      <c r="J163" s="152"/>
      <c r="K163" s="152"/>
      <c r="L163" s="122"/>
      <c r="M163" s="152"/>
      <c r="N163" s="152"/>
      <c r="O163" s="122"/>
      <c r="P163" s="152"/>
      <c r="Q163" s="152"/>
      <c r="R163" s="152"/>
      <c r="S163" s="152"/>
      <c r="T163" s="122"/>
      <c r="U163" s="152"/>
      <c r="V163" s="122"/>
      <c r="W163" s="152"/>
      <c r="X163" s="152"/>
      <c r="Y163" s="122"/>
      <c r="Z163" s="152"/>
      <c r="AA163" s="152"/>
      <c r="AB163" s="122"/>
      <c r="AC163" s="152"/>
      <c r="AD163" s="152"/>
      <c r="AE163" s="122"/>
      <c r="AF163" s="152"/>
      <c r="AG163" s="152"/>
      <c r="AH163" s="122"/>
      <c r="AI163" s="152"/>
      <c r="AJ163" s="152"/>
      <c r="AK163" s="124"/>
      <c r="AL163" s="12"/>
      <c r="AN163" s="6"/>
      <c r="AO163" s="6"/>
      <c r="AP163" s="6"/>
      <c r="AQ163" s="6"/>
      <c r="AR163" s="6"/>
      <c r="AS163" s="6"/>
      <c r="AT163" s="6"/>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row>
    <row r="164" spans="1:105" ht="12" customHeight="1" x14ac:dyDescent="0.25">
      <c r="A164" s="86">
        <f>A161+1</f>
        <v>3</v>
      </c>
      <c r="B164" s="87"/>
      <c r="C164" s="74"/>
      <c r="D164" s="213" t="s">
        <v>184</v>
      </c>
      <c r="E164" s="213"/>
      <c r="F164" s="213"/>
      <c r="G164" s="213"/>
      <c r="H164" s="213"/>
      <c r="I164" s="87"/>
      <c r="J164" s="74"/>
      <c r="K164" s="74" t="s">
        <v>185</v>
      </c>
      <c r="L164" s="87"/>
      <c r="M164" s="74"/>
      <c r="N164" s="74" t="s">
        <v>186</v>
      </c>
      <c r="O164" s="87"/>
      <c r="P164" s="74"/>
      <c r="Q164" s="74" t="s">
        <v>187</v>
      </c>
      <c r="R164" s="74"/>
      <c r="S164" s="74"/>
      <c r="T164" s="87"/>
      <c r="U164" s="74"/>
      <c r="V164" s="87"/>
      <c r="W164" s="74"/>
      <c r="X164" s="74" t="s">
        <v>22</v>
      </c>
      <c r="Y164" s="87"/>
      <c r="Z164" s="74"/>
      <c r="AA164" s="88" t="s">
        <v>188</v>
      </c>
      <c r="AB164" s="87"/>
      <c r="AC164" s="74"/>
      <c r="AD164" s="54">
        <v>1461037500</v>
      </c>
      <c r="AE164" s="87"/>
      <c r="AF164" s="74"/>
      <c r="AG164" s="125" t="s">
        <v>189</v>
      </c>
      <c r="AH164" s="87"/>
      <c r="AI164" s="74"/>
      <c r="AJ164" s="88" t="s">
        <v>190</v>
      </c>
      <c r="AK164" s="89"/>
      <c r="AL164" s="12"/>
      <c r="AN164" s="6"/>
      <c r="AO164" s="6"/>
      <c r="AP164" s="6"/>
      <c r="AQ164" s="6"/>
      <c r="AR164" s="6"/>
      <c r="AS164" s="6"/>
      <c r="AT164" s="6"/>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row>
    <row r="165" spans="1:105" ht="12" customHeight="1" x14ac:dyDescent="0.25">
      <c r="A165" s="86"/>
      <c r="B165" s="87"/>
      <c r="C165" s="74"/>
      <c r="D165" s="213"/>
      <c r="E165" s="213"/>
      <c r="F165" s="213"/>
      <c r="G165" s="213"/>
      <c r="H165" s="213"/>
      <c r="I165" s="87"/>
      <c r="J165" s="74"/>
      <c r="K165" s="123"/>
      <c r="L165" s="87"/>
      <c r="M165" s="74"/>
      <c r="N165" s="74"/>
      <c r="O165" s="87"/>
      <c r="P165" s="74"/>
      <c r="Q165" s="74"/>
      <c r="R165" s="74"/>
      <c r="S165" s="74"/>
      <c r="T165" s="87"/>
      <c r="U165" s="74"/>
      <c r="V165" s="87"/>
      <c r="W165" s="74"/>
      <c r="X165" s="74"/>
      <c r="Y165" s="87"/>
      <c r="Z165" s="74"/>
      <c r="AA165" s="88" t="s">
        <v>191</v>
      </c>
      <c r="AB165" s="87"/>
      <c r="AC165" s="74"/>
      <c r="AD165" s="74"/>
      <c r="AE165" s="87"/>
      <c r="AF165" s="74"/>
      <c r="AG165" s="74"/>
      <c r="AH165" s="87"/>
      <c r="AI165" s="74"/>
      <c r="AJ165" s="74"/>
      <c r="AK165" s="89"/>
      <c r="AL165" s="12"/>
      <c r="AN165" s="6"/>
      <c r="AO165" s="6"/>
      <c r="AP165" s="6"/>
      <c r="AQ165" s="6"/>
      <c r="AR165" s="6"/>
      <c r="AS165" s="6"/>
      <c r="AT165" s="6"/>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row>
    <row r="166" spans="1:105" ht="12" customHeight="1" x14ac:dyDescent="0.25">
      <c r="A166" s="121"/>
      <c r="B166" s="122"/>
      <c r="C166" s="123"/>
      <c r="D166" s="123"/>
      <c r="E166" s="123"/>
      <c r="F166" s="123"/>
      <c r="G166" s="123"/>
      <c r="H166" s="123"/>
      <c r="I166" s="122"/>
      <c r="J166" s="123"/>
      <c r="K166" s="123"/>
      <c r="L166" s="122"/>
      <c r="M166" s="123"/>
      <c r="N166" s="123"/>
      <c r="O166" s="122"/>
      <c r="P166" s="123"/>
      <c r="Q166" s="123"/>
      <c r="R166" s="123"/>
      <c r="S166" s="123"/>
      <c r="T166" s="122"/>
      <c r="U166" s="123"/>
      <c r="V166" s="122"/>
      <c r="W166" s="123"/>
      <c r="X166" s="123"/>
      <c r="Y166" s="122"/>
      <c r="Z166" s="123"/>
      <c r="AA166" s="123"/>
      <c r="AB166" s="122"/>
      <c r="AC166" s="123"/>
      <c r="AD166" s="123"/>
      <c r="AE166" s="122"/>
      <c r="AF166" s="123"/>
      <c r="AG166" s="123"/>
      <c r="AH166" s="122"/>
      <c r="AI166" s="123"/>
      <c r="AJ166" s="123"/>
      <c r="AK166" s="124"/>
      <c r="AL166" s="12"/>
      <c r="AN166" s="6"/>
      <c r="AO166" s="6"/>
      <c r="AP166" s="6"/>
      <c r="AQ166" s="6"/>
      <c r="AR166" s="6"/>
      <c r="AS166" s="6"/>
      <c r="AT166" s="6"/>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row>
    <row r="167" spans="1:105" ht="12" customHeight="1" x14ac:dyDescent="0.25">
      <c r="A167" s="86">
        <f>A164+1</f>
        <v>4</v>
      </c>
      <c r="B167" s="122"/>
      <c r="C167" s="123"/>
      <c r="D167" s="213" t="s">
        <v>192</v>
      </c>
      <c r="E167" s="213"/>
      <c r="F167" s="213"/>
      <c r="G167" s="213"/>
      <c r="H167" s="213"/>
      <c r="I167" s="122"/>
      <c r="J167" s="123"/>
      <c r="K167" s="123" t="s">
        <v>118</v>
      </c>
      <c r="L167" s="122"/>
      <c r="M167" s="123"/>
      <c r="N167" s="123" t="s">
        <v>173</v>
      </c>
      <c r="O167" s="122"/>
      <c r="P167" s="123"/>
      <c r="Q167" s="123" t="s">
        <v>193</v>
      </c>
      <c r="R167" s="123"/>
      <c r="S167" s="123"/>
      <c r="T167" s="122"/>
      <c r="U167" s="123"/>
      <c r="V167" s="122"/>
      <c r="W167" s="123"/>
      <c r="X167" s="123" t="s">
        <v>173</v>
      </c>
      <c r="Y167" s="122"/>
      <c r="Z167" s="123"/>
      <c r="AA167" s="91" t="s">
        <v>194</v>
      </c>
      <c r="AB167" s="122"/>
      <c r="AC167" s="123"/>
      <c r="AD167" s="54">
        <v>900000000</v>
      </c>
      <c r="AE167" s="122"/>
      <c r="AF167" s="123"/>
      <c r="AG167" s="91" t="s">
        <v>195</v>
      </c>
      <c r="AH167" s="122"/>
      <c r="AI167" s="123"/>
      <c r="AJ167" s="123"/>
      <c r="AK167" s="124"/>
      <c r="AL167" s="12"/>
      <c r="AN167" s="6"/>
      <c r="AO167" s="6"/>
      <c r="AP167" s="6"/>
      <c r="AQ167" s="6"/>
      <c r="AR167" s="6"/>
      <c r="AS167" s="6"/>
      <c r="AT167" s="6"/>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row>
    <row r="168" spans="1:105" ht="12" customHeight="1" x14ac:dyDescent="0.25">
      <c r="A168" s="121"/>
      <c r="B168" s="122"/>
      <c r="C168" s="123"/>
      <c r="D168" s="213"/>
      <c r="E168" s="213"/>
      <c r="F168" s="213"/>
      <c r="G168" s="213"/>
      <c r="H168" s="213"/>
      <c r="I168" s="122"/>
      <c r="J168" s="123"/>
      <c r="K168" s="123"/>
      <c r="L168" s="122"/>
      <c r="M168" s="123"/>
      <c r="N168" s="123"/>
      <c r="O168" s="122"/>
      <c r="P168" s="123"/>
      <c r="Q168" s="123"/>
      <c r="R168" s="123"/>
      <c r="S168" s="123"/>
      <c r="T168" s="122"/>
      <c r="U168" s="123"/>
      <c r="V168" s="122"/>
      <c r="W168" s="123"/>
      <c r="X168" s="123"/>
      <c r="Y168" s="122"/>
      <c r="Z168" s="123"/>
      <c r="AA168" s="91" t="s">
        <v>196</v>
      </c>
      <c r="AB168" s="122"/>
      <c r="AC168" s="123"/>
      <c r="AD168" s="123"/>
      <c r="AE168" s="122"/>
      <c r="AF168" s="123"/>
      <c r="AG168" s="123"/>
      <c r="AH168" s="122"/>
      <c r="AI168" s="123"/>
      <c r="AJ168" s="123"/>
      <c r="AK168" s="124"/>
      <c r="AL168" s="12"/>
      <c r="AN168" s="6"/>
      <c r="AO168" s="6"/>
      <c r="AP168" s="6"/>
      <c r="AQ168" s="6"/>
      <c r="AR168" s="6"/>
      <c r="AS168" s="6"/>
      <c r="AT168" s="6"/>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row>
    <row r="169" spans="1:105" ht="12" customHeight="1" x14ac:dyDescent="0.25">
      <c r="A169" s="121"/>
      <c r="B169" s="122"/>
      <c r="C169" s="123"/>
      <c r="D169" s="123"/>
      <c r="E169" s="123"/>
      <c r="F169" s="123"/>
      <c r="G169" s="123"/>
      <c r="H169" s="123"/>
      <c r="I169" s="122"/>
      <c r="J169" s="123"/>
      <c r="K169" s="123"/>
      <c r="L169" s="122"/>
      <c r="M169" s="123"/>
      <c r="N169" s="123"/>
      <c r="O169" s="122"/>
      <c r="P169" s="123"/>
      <c r="Q169" s="123"/>
      <c r="R169" s="123"/>
      <c r="S169" s="123"/>
      <c r="T169" s="122"/>
      <c r="U169" s="123"/>
      <c r="V169" s="122"/>
      <c r="W169" s="123"/>
      <c r="X169" s="123"/>
      <c r="Y169" s="122"/>
      <c r="Z169" s="123"/>
      <c r="AA169" s="123"/>
      <c r="AB169" s="122"/>
      <c r="AC169" s="123"/>
      <c r="AD169" s="123"/>
      <c r="AE169" s="122"/>
      <c r="AF169" s="123"/>
      <c r="AG169" s="123"/>
      <c r="AH169" s="122"/>
      <c r="AI169" s="123"/>
      <c r="AJ169" s="123"/>
      <c r="AK169" s="124"/>
      <c r="AL169" s="12"/>
      <c r="AN169" s="6"/>
      <c r="AO169" s="6"/>
      <c r="AP169" s="6"/>
      <c r="AQ169" s="6"/>
      <c r="AR169" s="6"/>
      <c r="AS169" s="6"/>
      <c r="AT169" s="6"/>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row>
    <row r="170" spans="1:105" ht="12" customHeight="1" x14ac:dyDescent="0.25">
      <c r="A170" s="137"/>
      <c r="B170" s="138"/>
      <c r="C170" s="154"/>
      <c r="D170" s="155"/>
      <c r="E170" s="155"/>
      <c r="F170" s="155"/>
      <c r="G170" s="155"/>
      <c r="H170" s="155"/>
      <c r="I170" s="138"/>
      <c r="J170" s="154"/>
      <c r="K170" s="155"/>
      <c r="L170" s="138"/>
      <c r="M170" s="154"/>
      <c r="N170" s="155"/>
      <c r="O170" s="138"/>
      <c r="P170" s="154"/>
      <c r="Q170" s="155"/>
      <c r="R170" s="155"/>
      <c r="S170" s="155"/>
      <c r="T170" s="155"/>
      <c r="U170" s="155"/>
      <c r="V170" s="138"/>
      <c r="W170" s="154"/>
      <c r="X170" s="155"/>
      <c r="Y170" s="138"/>
      <c r="Z170" s="154"/>
      <c r="AA170" s="155"/>
      <c r="AB170" s="138"/>
      <c r="AC170" s="154"/>
      <c r="AD170" s="155"/>
      <c r="AE170" s="138"/>
      <c r="AF170" s="154"/>
      <c r="AG170" s="155"/>
      <c r="AH170" s="138"/>
      <c r="AI170" s="154"/>
      <c r="AJ170" s="155"/>
      <c r="AK170" s="141"/>
      <c r="AN170" s="6"/>
      <c r="AO170" s="6"/>
      <c r="AP170" s="6"/>
      <c r="AQ170" s="6"/>
      <c r="AR170" s="6"/>
      <c r="AS170" s="6"/>
      <c r="AT170" s="6"/>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row>
    <row r="171" spans="1:105" ht="12" customHeight="1" x14ac:dyDescent="0.3">
      <c r="A171" s="102" t="s">
        <v>223</v>
      </c>
      <c r="B171" s="103"/>
      <c r="C171" s="104"/>
      <c r="D171" s="104" t="s">
        <v>198</v>
      </c>
      <c r="E171" s="104"/>
      <c r="F171" s="104"/>
      <c r="G171" s="105"/>
      <c r="H171" s="105"/>
      <c r="I171" s="106"/>
      <c r="J171" s="105"/>
      <c r="K171" s="105"/>
      <c r="L171" s="106"/>
      <c r="M171" s="105"/>
      <c r="N171" s="105"/>
      <c r="O171" s="106"/>
      <c r="P171" s="105"/>
      <c r="Q171" s="105"/>
      <c r="R171" s="105"/>
      <c r="S171" s="105"/>
      <c r="T171" s="106"/>
      <c r="U171" s="105"/>
      <c r="V171" s="106"/>
      <c r="W171" s="105"/>
      <c r="X171" s="105"/>
      <c r="Y171" s="106"/>
      <c r="Z171" s="105"/>
      <c r="AA171" s="105"/>
      <c r="AB171" s="106"/>
      <c r="AC171" s="105"/>
      <c r="AD171" s="105"/>
      <c r="AE171" s="106"/>
      <c r="AF171" s="105"/>
      <c r="AG171" s="105"/>
      <c r="AH171" s="106"/>
      <c r="AI171" s="105"/>
      <c r="AJ171" s="105"/>
      <c r="AN171" s="6"/>
      <c r="AO171" s="6"/>
      <c r="AP171" s="6"/>
      <c r="AQ171" s="6"/>
      <c r="AR171" s="6"/>
      <c r="AS171" s="6"/>
      <c r="AT171" s="6"/>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row>
    <row r="172" spans="1:105" ht="12" customHeight="1" x14ac:dyDescent="0.3">
      <c r="A172" s="121">
        <v>1</v>
      </c>
      <c r="B172" s="114"/>
      <c r="C172" s="118"/>
      <c r="D172" s="119" t="s">
        <v>233</v>
      </c>
      <c r="E172" s="118"/>
      <c r="F172" s="118"/>
      <c r="G172" s="82"/>
      <c r="H172" s="82"/>
      <c r="I172" s="83"/>
      <c r="J172" s="82"/>
      <c r="K172" s="167" t="s">
        <v>127</v>
      </c>
      <c r="L172" s="83"/>
      <c r="M172" s="82"/>
      <c r="N172" s="167" t="s">
        <v>173</v>
      </c>
      <c r="O172" s="83"/>
      <c r="P172" s="82"/>
      <c r="Q172" s="123" t="s">
        <v>193</v>
      </c>
      <c r="R172" s="82"/>
      <c r="S172" s="82"/>
      <c r="T172" s="83"/>
      <c r="U172" s="82"/>
      <c r="V172" s="83"/>
      <c r="W172" s="82"/>
      <c r="X172" s="123" t="s">
        <v>173</v>
      </c>
      <c r="Y172" s="83"/>
      <c r="Z172" s="82"/>
      <c r="AA172" s="167" t="s">
        <v>234</v>
      </c>
      <c r="AB172" s="83"/>
      <c r="AC172" s="82"/>
      <c r="AD172" s="20">
        <v>280000000</v>
      </c>
      <c r="AE172" s="83"/>
      <c r="AF172" s="82"/>
      <c r="AG172" s="168" t="s">
        <v>125</v>
      </c>
      <c r="AH172" s="83"/>
      <c r="AI172" s="82"/>
      <c r="AJ172" s="82"/>
      <c r="AN172" s="6"/>
      <c r="AO172" s="6"/>
      <c r="AP172" s="6"/>
      <c r="AQ172" s="6"/>
      <c r="AR172" s="6"/>
      <c r="AS172" s="6"/>
      <c r="AT172" s="6"/>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row>
    <row r="173" spans="1:105" ht="12" customHeight="1" x14ac:dyDescent="0.3">
      <c r="A173" s="121"/>
      <c r="B173" s="114"/>
      <c r="C173" s="118"/>
      <c r="D173" s="118"/>
      <c r="E173" s="118"/>
      <c r="F173" s="118"/>
      <c r="G173" s="82"/>
      <c r="H173" s="82"/>
      <c r="I173" s="83"/>
      <c r="J173" s="82"/>
      <c r="K173" s="82"/>
      <c r="L173" s="83"/>
      <c r="M173" s="82"/>
      <c r="N173" s="82"/>
      <c r="O173" s="83"/>
      <c r="P173" s="82"/>
      <c r="Q173" s="82"/>
      <c r="R173" s="82"/>
      <c r="S173" s="82"/>
      <c r="T173" s="83"/>
      <c r="U173" s="82"/>
      <c r="V173" s="83"/>
      <c r="W173" s="82"/>
      <c r="X173" s="82"/>
      <c r="Y173" s="83"/>
      <c r="Z173" s="82"/>
      <c r="AA173" s="168" t="s">
        <v>235</v>
      </c>
      <c r="AB173" s="83"/>
      <c r="AC173" s="82"/>
      <c r="AD173" s="82"/>
      <c r="AE173" s="83"/>
      <c r="AF173" s="82"/>
      <c r="AG173" s="82"/>
      <c r="AH173" s="83"/>
      <c r="AI173" s="82"/>
      <c r="AJ173" s="82"/>
      <c r="AN173" s="6"/>
      <c r="AO173" s="6"/>
      <c r="AP173" s="6"/>
      <c r="AQ173" s="6"/>
      <c r="AR173" s="6"/>
      <c r="AS173" s="6"/>
      <c r="AT173" s="6"/>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row>
    <row r="174" spans="1:105" ht="12" customHeight="1" x14ac:dyDescent="0.3">
      <c r="A174" s="121"/>
      <c r="B174" s="114"/>
      <c r="C174" s="118"/>
      <c r="D174" s="118"/>
      <c r="E174" s="118"/>
      <c r="F174" s="118"/>
      <c r="G174" s="82"/>
      <c r="H174" s="82"/>
      <c r="I174" s="83"/>
      <c r="J174" s="82"/>
      <c r="K174" s="82"/>
      <c r="L174" s="83"/>
      <c r="M174" s="82"/>
      <c r="N174" s="82"/>
      <c r="O174" s="83"/>
      <c r="P174" s="82"/>
      <c r="Q174" s="82"/>
      <c r="R174" s="82"/>
      <c r="S174" s="82"/>
      <c r="T174" s="83"/>
      <c r="U174" s="82"/>
      <c r="V174" s="83"/>
      <c r="W174" s="82"/>
      <c r="X174" s="82"/>
      <c r="Y174" s="83"/>
      <c r="Z174" s="82"/>
      <c r="AA174" s="168"/>
      <c r="AB174" s="83"/>
      <c r="AC174" s="82"/>
      <c r="AD174" s="82"/>
      <c r="AE174" s="83"/>
      <c r="AF174" s="82"/>
      <c r="AG174" s="82"/>
      <c r="AH174" s="83"/>
      <c r="AI174" s="82"/>
      <c r="AJ174" s="82"/>
      <c r="AN174" s="6"/>
      <c r="AO174" s="6"/>
      <c r="AP174" s="6"/>
      <c r="AQ174" s="6"/>
      <c r="AR174" s="6"/>
      <c r="AS174" s="6"/>
      <c r="AT174" s="6"/>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row>
    <row r="175" spans="1:105" ht="12" customHeight="1" x14ac:dyDescent="0.3">
      <c r="A175" s="121">
        <v>2</v>
      </c>
      <c r="B175" s="114"/>
      <c r="C175" s="115"/>
      <c r="D175" s="216" t="s">
        <v>266</v>
      </c>
      <c r="E175" s="216"/>
      <c r="F175" s="216"/>
      <c r="G175" s="216"/>
      <c r="H175" s="216"/>
      <c r="I175" s="83"/>
      <c r="J175" s="93"/>
      <c r="K175" s="165" t="s">
        <v>267</v>
      </c>
      <c r="L175" s="83"/>
      <c r="M175" s="93"/>
      <c r="N175" s="165" t="s">
        <v>268</v>
      </c>
      <c r="O175" s="83"/>
      <c r="P175" s="93"/>
      <c r="Q175" s="216" t="s">
        <v>269</v>
      </c>
      <c r="R175" s="216"/>
      <c r="S175" s="216"/>
      <c r="T175" s="83"/>
      <c r="U175" s="93"/>
      <c r="V175" s="83"/>
      <c r="W175" s="93"/>
      <c r="X175" s="165" t="s">
        <v>270</v>
      </c>
      <c r="Y175" s="83"/>
      <c r="Z175" s="93"/>
      <c r="AA175" s="166" t="s">
        <v>271</v>
      </c>
      <c r="AB175" s="83"/>
      <c r="AC175" s="93"/>
      <c r="AD175" s="20">
        <v>271422750</v>
      </c>
      <c r="AE175" s="83"/>
      <c r="AF175" s="93"/>
      <c r="AG175" s="166" t="s">
        <v>143</v>
      </c>
      <c r="AH175" s="83"/>
      <c r="AI175" s="93"/>
      <c r="AJ175" s="93"/>
      <c r="AK175" s="193"/>
      <c r="AN175" s="6"/>
      <c r="AO175" s="6"/>
      <c r="AP175" s="6"/>
      <c r="AQ175" s="6"/>
      <c r="AR175" s="6"/>
      <c r="AS175" s="6"/>
      <c r="AT175" s="6"/>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row>
    <row r="176" spans="1:105" ht="12" customHeight="1" x14ac:dyDescent="0.3">
      <c r="A176" s="121"/>
      <c r="B176" s="114"/>
      <c r="C176" s="115"/>
      <c r="D176" s="216"/>
      <c r="E176" s="216"/>
      <c r="F176" s="216"/>
      <c r="G176" s="216"/>
      <c r="H176" s="216"/>
      <c r="I176" s="83"/>
      <c r="J176" s="93"/>
      <c r="K176" s="93"/>
      <c r="L176" s="83"/>
      <c r="M176" s="93"/>
      <c r="N176" s="93"/>
      <c r="O176" s="83"/>
      <c r="P176" s="93"/>
      <c r="Q176" s="216"/>
      <c r="R176" s="216"/>
      <c r="S176" s="216"/>
      <c r="T176" s="83"/>
      <c r="U176" s="93"/>
      <c r="V176" s="83"/>
      <c r="W176" s="93"/>
      <c r="X176" s="93"/>
      <c r="Y176" s="83"/>
      <c r="Z176" s="93"/>
      <c r="AA176" s="166" t="s">
        <v>272</v>
      </c>
      <c r="AB176" s="83"/>
      <c r="AC176" s="93"/>
      <c r="AD176" s="93"/>
      <c r="AE176" s="83"/>
      <c r="AF176" s="93"/>
      <c r="AG176" s="93"/>
      <c r="AH176" s="83"/>
      <c r="AI176" s="93"/>
      <c r="AJ176" s="93"/>
      <c r="AK176" s="193"/>
      <c r="AN176" s="6"/>
      <c r="AO176" s="6"/>
      <c r="AP176" s="6"/>
      <c r="AQ176" s="6"/>
      <c r="AR176" s="6"/>
      <c r="AS176" s="6"/>
      <c r="AT176" s="6"/>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row>
    <row r="177" spans="1:105" ht="12" customHeight="1" x14ac:dyDescent="0.3">
      <c r="A177" s="121"/>
      <c r="B177" s="114"/>
      <c r="C177" s="115"/>
      <c r="D177" s="216"/>
      <c r="E177" s="216"/>
      <c r="F177" s="216"/>
      <c r="G177" s="216"/>
      <c r="H177" s="216"/>
      <c r="I177" s="83"/>
      <c r="J177" s="93"/>
      <c r="K177" s="93"/>
      <c r="L177" s="83"/>
      <c r="M177" s="93"/>
      <c r="N177" s="93"/>
      <c r="O177" s="83"/>
      <c r="P177" s="93"/>
      <c r="Q177" s="93"/>
      <c r="R177" s="93"/>
      <c r="S177" s="93"/>
      <c r="T177" s="83"/>
      <c r="U177" s="93"/>
      <c r="V177" s="83"/>
      <c r="W177" s="93"/>
      <c r="X177" s="93"/>
      <c r="Y177" s="83"/>
      <c r="Z177" s="93"/>
      <c r="AA177" s="166"/>
      <c r="AB177" s="83"/>
      <c r="AC177" s="93"/>
      <c r="AD177" s="93"/>
      <c r="AE177" s="83"/>
      <c r="AF177" s="93"/>
      <c r="AG177" s="93"/>
      <c r="AH177" s="83"/>
      <c r="AI177" s="93"/>
      <c r="AJ177" s="93"/>
      <c r="AK177" s="193"/>
      <c r="AN177" s="6"/>
      <c r="AO177" s="6"/>
      <c r="AP177" s="6"/>
      <c r="AQ177" s="6"/>
      <c r="AR177" s="6"/>
      <c r="AS177" s="6"/>
      <c r="AT177" s="6"/>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row>
    <row r="178" spans="1:105" ht="12" customHeight="1" x14ac:dyDescent="0.3">
      <c r="A178" s="121"/>
      <c r="B178" s="114"/>
      <c r="C178" s="115"/>
      <c r="D178" s="216"/>
      <c r="E178" s="216"/>
      <c r="F178" s="216"/>
      <c r="G178" s="216"/>
      <c r="H178" s="216"/>
      <c r="I178" s="83"/>
      <c r="J178" s="93"/>
      <c r="K178" s="93"/>
      <c r="L178" s="83"/>
      <c r="M178" s="93"/>
      <c r="N178" s="93"/>
      <c r="O178" s="83"/>
      <c r="P178" s="93"/>
      <c r="Q178" s="93"/>
      <c r="R178" s="93"/>
      <c r="S178" s="93"/>
      <c r="T178" s="83"/>
      <c r="U178" s="93"/>
      <c r="V178" s="83"/>
      <c r="W178" s="93"/>
      <c r="X178" s="93"/>
      <c r="Y178" s="83"/>
      <c r="Z178" s="93"/>
      <c r="AA178" s="166"/>
      <c r="AB178" s="83"/>
      <c r="AC178" s="93"/>
      <c r="AD178" s="93"/>
      <c r="AE178" s="83"/>
      <c r="AF178" s="93"/>
      <c r="AG178" s="93"/>
      <c r="AH178" s="83"/>
      <c r="AI178" s="93"/>
      <c r="AJ178" s="93"/>
      <c r="AK178" s="193"/>
      <c r="AN178" s="6"/>
      <c r="AO178" s="6"/>
      <c r="AP178" s="6"/>
      <c r="AQ178" s="6"/>
      <c r="AR178" s="6"/>
      <c r="AS178" s="6"/>
      <c r="AT178" s="6"/>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row>
    <row r="179" spans="1:105" ht="12" customHeight="1" x14ac:dyDescent="0.3">
      <c r="A179" s="121"/>
      <c r="B179" s="114"/>
      <c r="C179" s="115"/>
      <c r="D179" s="216"/>
      <c r="E179" s="216"/>
      <c r="F179" s="216"/>
      <c r="G179" s="216"/>
      <c r="H179" s="216"/>
      <c r="I179" s="83"/>
      <c r="J179" s="93"/>
      <c r="K179" s="93"/>
      <c r="L179" s="83"/>
      <c r="M179" s="93"/>
      <c r="N179" s="93"/>
      <c r="O179" s="83"/>
      <c r="P179" s="93"/>
      <c r="Q179" s="93"/>
      <c r="R179" s="93"/>
      <c r="S179" s="93"/>
      <c r="T179" s="83"/>
      <c r="U179" s="93"/>
      <c r="V179" s="83"/>
      <c r="W179" s="93"/>
      <c r="X179" s="93"/>
      <c r="Y179" s="83"/>
      <c r="Z179" s="93"/>
      <c r="AA179" s="166"/>
      <c r="AB179" s="83"/>
      <c r="AC179" s="93"/>
      <c r="AD179" s="93"/>
      <c r="AE179" s="83"/>
      <c r="AF179" s="93"/>
      <c r="AG179" s="93"/>
      <c r="AH179" s="83"/>
      <c r="AI179" s="93"/>
      <c r="AJ179" s="93"/>
      <c r="AK179" s="193"/>
      <c r="AN179" s="6"/>
      <c r="AO179" s="6"/>
      <c r="AP179" s="6"/>
      <c r="AQ179" s="6"/>
      <c r="AR179" s="6"/>
      <c r="AS179" s="6"/>
      <c r="AT179" s="6"/>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row>
    <row r="180" spans="1:105" ht="12" customHeight="1" x14ac:dyDescent="0.3">
      <c r="A180" s="121"/>
      <c r="B180" s="114"/>
      <c r="C180" s="115"/>
      <c r="D180" s="216"/>
      <c r="E180" s="216"/>
      <c r="F180" s="216"/>
      <c r="G180" s="216"/>
      <c r="H180" s="216"/>
      <c r="I180" s="83"/>
      <c r="J180" s="93"/>
      <c r="K180" s="93"/>
      <c r="L180" s="83"/>
      <c r="M180" s="93"/>
      <c r="N180" s="93"/>
      <c r="O180" s="83"/>
      <c r="P180" s="93"/>
      <c r="Q180" s="93"/>
      <c r="R180" s="93"/>
      <c r="S180" s="93"/>
      <c r="T180" s="83"/>
      <c r="U180" s="93"/>
      <c r="V180" s="83"/>
      <c r="W180" s="93"/>
      <c r="X180" s="93"/>
      <c r="Y180" s="83"/>
      <c r="Z180" s="93"/>
      <c r="AA180" s="166"/>
      <c r="AB180" s="83"/>
      <c r="AC180" s="93"/>
      <c r="AD180" s="93"/>
      <c r="AE180" s="83"/>
      <c r="AF180" s="93"/>
      <c r="AG180" s="93"/>
      <c r="AH180" s="83"/>
      <c r="AI180" s="93"/>
      <c r="AJ180" s="93"/>
      <c r="AK180" s="193"/>
      <c r="AN180" s="6"/>
      <c r="AO180" s="6"/>
      <c r="AP180" s="6"/>
      <c r="AQ180" s="6"/>
      <c r="AR180" s="6"/>
      <c r="AS180" s="6"/>
      <c r="AT180" s="6"/>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row>
    <row r="181" spans="1:105" ht="12" customHeight="1" thickBot="1" x14ac:dyDescent="0.35">
      <c r="A181" s="143"/>
      <c r="B181" s="194"/>
      <c r="C181" s="195"/>
      <c r="D181" s="217"/>
      <c r="E181" s="217"/>
      <c r="F181" s="217"/>
      <c r="G181" s="217"/>
      <c r="H181" s="217"/>
      <c r="I181" s="196"/>
      <c r="J181" s="197"/>
      <c r="K181" s="197"/>
      <c r="L181" s="196"/>
      <c r="M181" s="197"/>
      <c r="N181" s="197"/>
      <c r="O181" s="196"/>
      <c r="P181" s="197"/>
      <c r="Q181" s="197"/>
      <c r="R181" s="197"/>
      <c r="S181" s="197"/>
      <c r="T181" s="196"/>
      <c r="U181" s="197"/>
      <c r="V181" s="196"/>
      <c r="W181" s="197"/>
      <c r="X181" s="197"/>
      <c r="Y181" s="196"/>
      <c r="Z181" s="197"/>
      <c r="AA181" s="198"/>
      <c r="AB181" s="196"/>
      <c r="AC181" s="197"/>
      <c r="AD181" s="197"/>
      <c r="AE181" s="196"/>
      <c r="AF181" s="197"/>
      <c r="AG181" s="197"/>
      <c r="AH181" s="196"/>
      <c r="AI181" s="197"/>
      <c r="AJ181" s="197"/>
      <c r="AK181" s="199"/>
      <c r="AN181" s="6"/>
      <c r="AO181" s="6"/>
      <c r="AP181" s="6"/>
      <c r="AQ181" s="6"/>
      <c r="AR181" s="6"/>
      <c r="AS181" s="6"/>
      <c r="AT181" s="6"/>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row>
    <row r="182" spans="1:105" ht="12" customHeight="1" thickTop="1" x14ac:dyDescent="0.3">
      <c r="A182" s="121"/>
      <c r="B182" s="114"/>
      <c r="C182" s="118"/>
      <c r="D182" s="118"/>
      <c r="E182" s="118"/>
      <c r="F182" s="118"/>
      <c r="G182" s="82"/>
      <c r="H182" s="82"/>
      <c r="I182" s="83"/>
      <c r="J182" s="82"/>
      <c r="K182" s="82"/>
      <c r="L182" s="83"/>
      <c r="M182" s="82"/>
      <c r="N182" s="82"/>
      <c r="O182" s="83"/>
      <c r="P182" s="82"/>
      <c r="Q182" s="82"/>
      <c r="R182" s="82"/>
      <c r="S182" s="82"/>
      <c r="T182" s="83"/>
      <c r="U182" s="82"/>
      <c r="V182" s="83"/>
      <c r="W182" s="82"/>
      <c r="X182" s="82"/>
      <c r="Y182" s="83"/>
      <c r="Z182" s="82"/>
      <c r="AA182" s="82"/>
      <c r="AB182" s="83"/>
      <c r="AC182" s="82"/>
      <c r="AD182" s="82"/>
      <c r="AE182" s="83"/>
      <c r="AF182" s="82"/>
      <c r="AG182" s="82"/>
      <c r="AH182" s="83"/>
      <c r="AI182" s="82"/>
      <c r="AJ182" s="82"/>
      <c r="AN182" s="6"/>
      <c r="AO182" s="6"/>
      <c r="AP182" s="6"/>
      <c r="AQ182" s="6"/>
      <c r="AR182" s="6"/>
      <c r="AS182" s="6"/>
      <c r="AT182" s="6"/>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row>
    <row r="183" spans="1:105" ht="12" customHeight="1" x14ac:dyDescent="0.3">
      <c r="A183" s="121">
        <v>3</v>
      </c>
      <c r="B183" s="114"/>
      <c r="C183" s="118"/>
      <c r="D183" s="213" t="s">
        <v>255</v>
      </c>
      <c r="E183" s="213"/>
      <c r="F183" s="213"/>
      <c r="G183" s="213"/>
      <c r="H183" s="213"/>
      <c r="I183" s="83"/>
      <c r="J183" s="82"/>
      <c r="K183" s="167" t="s">
        <v>127</v>
      </c>
      <c r="L183" s="83"/>
      <c r="M183" s="82"/>
      <c r="N183" s="167" t="s">
        <v>197</v>
      </c>
      <c r="O183" s="83"/>
      <c r="P183" s="82"/>
      <c r="Q183" s="167" t="s">
        <v>256</v>
      </c>
      <c r="R183" s="82"/>
      <c r="S183" s="82"/>
      <c r="T183" s="83"/>
      <c r="U183" s="82"/>
      <c r="V183" s="83"/>
      <c r="W183" s="82"/>
      <c r="X183" s="167" t="s">
        <v>21</v>
      </c>
      <c r="Y183" s="83"/>
      <c r="Z183" s="82"/>
      <c r="AA183" s="167" t="s">
        <v>257</v>
      </c>
      <c r="AB183" s="83"/>
      <c r="AC183" s="82"/>
      <c r="AD183" s="20">
        <v>832500000</v>
      </c>
      <c r="AE183" s="83"/>
      <c r="AF183" s="82"/>
      <c r="AG183" s="168" t="s">
        <v>259</v>
      </c>
      <c r="AH183" s="83"/>
      <c r="AI183" s="82"/>
      <c r="AJ183" s="82"/>
      <c r="AN183" s="6"/>
      <c r="AO183" s="6"/>
      <c r="AP183" s="6"/>
      <c r="AQ183" s="6"/>
      <c r="AR183" s="6"/>
      <c r="AS183" s="6"/>
      <c r="AT183" s="6"/>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row>
    <row r="184" spans="1:105" ht="12" customHeight="1" x14ac:dyDescent="0.3">
      <c r="A184" s="121"/>
      <c r="B184" s="114"/>
      <c r="C184" s="118"/>
      <c r="D184" s="213"/>
      <c r="E184" s="213"/>
      <c r="F184" s="213"/>
      <c r="G184" s="213"/>
      <c r="H184" s="213"/>
      <c r="I184" s="83"/>
      <c r="J184" s="82"/>
      <c r="K184" s="82"/>
      <c r="L184" s="83"/>
      <c r="M184" s="82"/>
      <c r="N184" s="82"/>
      <c r="O184" s="83"/>
      <c r="P184" s="82"/>
      <c r="Q184" s="82"/>
      <c r="R184" s="82"/>
      <c r="S184" s="82"/>
      <c r="T184" s="83"/>
      <c r="U184" s="82"/>
      <c r="V184" s="83"/>
      <c r="W184" s="82"/>
      <c r="X184" s="82"/>
      <c r="Y184" s="83"/>
      <c r="Z184" s="82"/>
      <c r="AA184" s="168" t="s">
        <v>258</v>
      </c>
      <c r="AB184" s="83"/>
      <c r="AC184" s="82"/>
      <c r="AD184" s="82"/>
      <c r="AE184" s="83"/>
      <c r="AF184" s="82"/>
      <c r="AG184" s="82"/>
      <c r="AH184" s="83"/>
      <c r="AI184" s="82"/>
      <c r="AJ184" s="82"/>
      <c r="AN184" s="6"/>
      <c r="AO184" s="6"/>
      <c r="AP184" s="6"/>
      <c r="AQ184" s="6"/>
      <c r="AR184" s="6"/>
      <c r="AS184" s="6"/>
      <c r="AT184" s="6"/>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row>
    <row r="185" spans="1:105" ht="12" customHeight="1" x14ac:dyDescent="0.3">
      <c r="A185" s="121"/>
      <c r="B185" s="114"/>
      <c r="C185" s="118"/>
      <c r="D185" s="215"/>
      <c r="E185" s="215"/>
      <c r="F185" s="215"/>
      <c r="G185" s="215"/>
      <c r="H185" s="215"/>
      <c r="I185" s="83"/>
      <c r="J185" s="82"/>
      <c r="K185" s="82"/>
      <c r="L185" s="83"/>
      <c r="M185" s="82"/>
      <c r="N185" s="82"/>
      <c r="O185" s="83"/>
      <c r="P185" s="82"/>
      <c r="Q185" s="82"/>
      <c r="R185" s="82"/>
      <c r="S185" s="82"/>
      <c r="T185" s="83"/>
      <c r="U185" s="82"/>
      <c r="V185" s="83"/>
      <c r="W185" s="82"/>
      <c r="X185" s="82"/>
      <c r="Y185" s="83"/>
      <c r="Z185" s="82"/>
      <c r="AA185" s="82"/>
      <c r="AB185" s="83"/>
      <c r="AC185" s="82"/>
      <c r="AD185" s="82"/>
      <c r="AE185" s="83"/>
      <c r="AF185" s="82"/>
      <c r="AG185" s="82"/>
      <c r="AH185" s="83"/>
      <c r="AI185" s="82"/>
      <c r="AJ185" s="82"/>
      <c r="AN185" s="6"/>
      <c r="AO185" s="6"/>
      <c r="AP185" s="6"/>
      <c r="AQ185" s="6"/>
      <c r="AR185" s="6"/>
      <c r="AS185" s="6"/>
      <c r="AT185" s="6"/>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row>
    <row r="186" spans="1:105" ht="12" customHeight="1" x14ac:dyDescent="0.3">
      <c r="A186" s="121"/>
      <c r="B186" s="114"/>
      <c r="C186" s="118"/>
      <c r="D186" s="118"/>
      <c r="E186" s="118"/>
      <c r="F186" s="118"/>
      <c r="G186" s="82"/>
      <c r="H186" s="82"/>
      <c r="I186" s="83"/>
      <c r="J186" s="82"/>
      <c r="K186" s="82"/>
      <c r="L186" s="83"/>
      <c r="M186" s="82"/>
      <c r="N186" s="82"/>
      <c r="O186" s="83"/>
      <c r="P186" s="82"/>
      <c r="Q186" s="82"/>
      <c r="R186" s="82"/>
      <c r="S186" s="82"/>
      <c r="T186" s="83"/>
      <c r="U186" s="82"/>
      <c r="V186" s="83"/>
      <c r="W186" s="82"/>
      <c r="X186" s="82"/>
      <c r="Y186" s="83"/>
      <c r="Z186" s="82"/>
      <c r="AA186" s="82"/>
      <c r="AB186" s="83"/>
      <c r="AC186" s="82"/>
      <c r="AD186" s="82"/>
      <c r="AE186" s="83"/>
      <c r="AF186" s="82"/>
      <c r="AG186" s="82"/>
      <c r="AH186" s="83"/>
      <c r="AI186" s="82"/>
      <c r="AJ186" s="82"/>
      <c r="AN186" s="6"/>
      <c r="AO186" s="6"/>
      <c r="AP186" s="6"/>
      <c r="AQ186" s="6"/>
      <c r="AR186" s="6"/>
      <c r="AS186" s="6"/>
      <c r="AT186" s="6"/>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row>
    <row r="187" spans="1:105" ht="12" customHeight="1" x14ac:dyDescent="0.3">
      <c r="A187" s="121">
        <v>4</v>
      </c>
      <c r="B187" s="114"/>
      <c r="C187" s="118"/>
      <c r="D187" s="213" t="s">
        <v>285</v>
      </c>
      <c r="E187" s="213"/>
      <c r="F187" s="213"/>
      <c r="G187" s="213"/>
      <c r="H187" s="213"/>
      <c r="I187" s="83"/>
      <c r="J187" s="82"/>
      <c r="K187" s="167" t="s">
        <v>127</v>
      </c>
      <c r="L187" s="83"/>
      <c r="M187" s="82"/>
      <c r="N187" s="167" t="s">
        <v>197</v>
      </c>
      <c r="O187" s="83"/>
      <c r="P187" s="82"/>
      <c r="Q187" s="167" t="s">
        <v>286</v>
      </c>
      <c r="R187" s="82"/>
      <c r="S187" s="82"/>
      <c r="T187" s="83"/>
      <c r="U187" s="82"/>
      <c r="V187" s="83"/>
      <c r="W187" s="82"/>
      <c r="X187" s="167" t="s">
        <v>21</v>
      </c>
      <c r="Y187" s="83"/>
      <c r="Z187" s="82"/>
      <c r="AA187" s="167" t="s">
        <v>287</v>
      </c>
      <c r="AB187" s="83"/>
      <c r="AC187" s="82"/>
      <c r="AD187" s="82"/>
      <c r="AE187" s="83"/>
      <c r="AF187" s="82"/>
      <c r="AG187" s="82"/>
      <c r="AH187" s="83"/>
      <c r="AI187" s="82"/>
      <c r="AJ187" s="82"/>
      <c r="AN187" s="6"/>
      <c r="AO187" s="6"/>
      <c r="AP187" s="6"/>
      <c r="AQ187" s="6"/>
      <c r="AR187" s="6"/>
      <c r="AS187" s="6"/>
      <c r="AT187" s="6"/>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row>
    <row r="188" spans="1:105" ht="12" customHeight="1" x14ac:dyDescent="0.3">
      <c r="A188" s="113"/>
      <c r="B188" s="114"/>
      <c r="C188" s="118"/>
      <c r="D188" s="213"/>
      <c r="E188" s="213"/>
      <c r="F188" s="213"/>
      <c r="G188" s="213"/>
      <c r="H188" s="213"/>
      <c r="I188" s="83"/>
      <c r="J188" s="82"/>
      <c r="K188" s="82"/>
      <c r="L188" s="83"/>
      <c r="M188" s="82"/>
      <c r="N188" s="82"/>
      <c r="O188" s="83"/>
      <c r="P188" s="82"/>
      <c r="Q188" s="82"/>
      <c r="R188" s="82"/>
      <c r="S188" s="82"/>
      <c r="T188" s="83"/>
      <c r="U188" s="82"/>
      <c r="V188" s="83"/>
      <c r="W188" s="82"/>
      <c r="X188" s="82"/>
      <c r="Y188" s="83"/>
      <c r="Z188" s="82"/>
      <c r="AA188" s="168" t="s">
        <v>288</v>
      </c>
      <c r="AB188" s="83"/>
      <c r="AC188" s="82"/>
      <c r="AD188" s="20">
        <v>675657000</v>
      </c>
      <c r="AE188" s="83"/>
      <c r="AF188" s="82"/>
      <c r="AG188" s="168" t="s">
        <v>289</v>
      </c>
      <c r="AH188" s="83"/>
      <c r="AI188" s="82"/>
      <c r="AJ188" s="82"/>
      <c r="AN188" s="6"/>
      <c r="AO188" s="6"/>
      <c r="AP188" s="6"/>
      <c r="AQ188" s="6"/>
      <c r="AR188" s="6"/>
      <c r="AS188" s="6"/>
      <c r="AT188" s="6"/>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c r="CX188" s="7"/>
      <c r="CY188" s="7"/>
      <c r="CZ188" s="7"/>
      <c r="DA188" s="7"/>
    </row>
    <row r="189" spans="1:105" ht="12" customHeight="1" x14ac:dyDescent="0.3">
      <c r="A189" s="113"/>
      <c r="B189" s="114"/>
      <c r="C189" s="118"/>
      <c r="D189" s="215"/>
      <c r="E189" s="215"/>
      <c r="F189" s="215"/>
      <c r="G189" s="215"/>
      <c r="H189" s="215"/>
      <c r="I189" s="83"/>
      <c r="J189" s="82"/>
      <c r="K189" s="82"/>
      <c r="L189" s="83"/>
      <c r="M189" s="82"/>
      <c r="N189" s="82"/>
      <c r="O189" s="83"/>
      <c r="P189" s="82"/>
      <c r="Q189" s="82"/>
      <c r="R189" s="82"/>
      <c r="S189" s="82"/>
      <c r="T189" s="83"/>
      <c r="U189" s="82"/>
      <c r="V189" s="83"/>
      <c r="W189" s="82"/>
      <c r="X189" s="82"/>
      <c r="Y189" s="83"/>
      <c r="Z189" s="82"/>
      <c r="AA189" s="82"/>
      <c r="AB189" s="83"/>
      <c r="AC189" s="82"/>
      <c r="AD189" s="82"/>
      <c r="AE189" s="83"/>
      <c r="AF189" s="82"/>
      <c r="AG189" s="82"/>
      <c r="AH189" s="83"/>
      <c r="AI189" s="82"/>
      <c r="AJ189" s="82"/>
      <c r="AN189" s="6"/>
      <c r="AO189" s="6"/>
      <c r="AP189" s="6"/>
      <c r="AQ189" s="6"/>
      <c r="AR189" s="6"/>
      <c r="AS189" s="6"/>
      <c r="AT189" s="6"/>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7"/>
      <c r="CM189" s="7"/>
      <c r="CN189" s="7"/>
      <c r="CO189" s="7"/>
      <c r="CP189" s="7"/>
      <c r="CQ189" s="7"/>
      <c r="CR189" s="7"/>
      <c r="CS189" s="7"/>
      <c r="CT189" s="7"/>
      <c r="CU189" s="7"/>
      <c r="CV189" s="7"/>
      <c r="CW189" s="7"/>
      <c r="CX189" s="7"/>
      <c r="CY189" s="7"/>
      <c r="CZ189" s="7"/>
      <c r="DA189" s="7"/>
    </row>
    <row r="190" spans="1:105" ht="12" customHeight="1" x14ac:dyDescent="0.3">
      <c r="A190" s="113"/>
      <c r="B190" s="114"/>
      <c r="C190" s="118"/>
      <c r="D190" s="118"/>
      <c r="E190" s="118"/>
      <c r="F190" s="118"/>
      <c r="G190" s="82"/>
      <c r="H190" s="82"/>
      <c r="I190" s="83"/>
      <c r="J190" s="82"/>
      <c r="K190" s="82"/>
      <c r="L190" s="83"/>
      <c r="M190" s="82"/>
      <c r="N190" s="82"/>
      <c r="O190" s="83"/>
      <c r="P190" s="82"/>
      <c r="Q190" s="82"/>
      <c r="R190" s="82"/>
      <c r="S190" s="82"/>
      <c r="T190" s="83"/>
      <c r="U190" s="82"/>
      <c r="V190" s="83"/>
      <c r="W190" s="82"/>
      <c r="X190" s="82"/>
      <c r="Y190" s="83"/>
      <c r="Z190" s="82"/>
      <c r="AA190" s="82"/>
      <c r="AB190" s="83"/>
      <c r="AC190" s="82"/>
      <c r="AD190" s="82"/>
      <c r="AE190" s="83"/>
      <c r="AF190" s="82"/>
      <c r="AG190" s="82"/>
      <c r="AH190" s="83"/>
      <c r="AI190" s="82"/>
      <c r="AJ190" s="82"/>
      <c r="AN190" s="6"/>
      <c r="AO190" s="6"/>
      <c r="AP190" s="6"/>
      <c r="AQ190" s="6"/>
      <c r="AR190" s="6"/>
      <c r="AS190" s="6"/>
      <c r="AT190" s="6"/>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7"/>
      <c r="CE190" s="7"/>
      <c r="CF190" s="7"/>
      <c r="CG190" s="7"/>
      <c r="CH190" s="7"/>
      <c r="CI190" s="7"/>
      <c r="CJ190" s="7"/>
      <c r="CK190" s="7"/>
      <c r="CL190" s="7"/>
      <c r="CM190" s="7"/>
      <c r="CN190" s="7"/>
      <c r="CO190" s="7"/>
      <c r="CP190" s="7"/>
      <c r="CQ190" s="7"/>
      <c r="CR190" s="7"/>
      <c r="CS190" s="7"/>
      <c r="CT190" s="7"/>
      <c r="CU190" s="7"/>
      <c r="CV190" s="7"/>
      <c r="CW190" s="7"/>
      <c r="CX190" s="7"/>
      <c r="CY190" s="7"/>
      <c r="CZ190" s="7"/>
      <c r="DA190" s="7"/>
    </row>
    <row r="191" spans="1:105" ht="12" customHeight="1" x14ac:dyDescent="0.25">
      <c r="A191" s="121">
        <v>6</v>
      </c>
      <c r="B191" s="122"/>
      <c r="C191" s="123"/>
      <c r="D191" s="213" t="s">
        <v>199</v>
      </c>
      <c r="E191" s="222"/>
      <c r="F191" s="222"/>
      <c r="G191" s="222"/>
      <c r="H191" s="222"/>
      <c r="I191" s="122"/>
      <c r="J191" s="123"/>
      <c r="K191" s="123" t="s">
        <v>127</v>
      </c>
      <c r="L191" s="122"/>
      <c r="M191" s="123"/>
      <c r="N191" s="123" t="s">
        <v>173</v>
      </c>
      <c r="O191" s="122"/>
      <c r="P191" s="123"/>
      <c r="Q191" s="123" t="s">
        <v>193</v>
      </c>
      <c r="R191" s="123"/>
      <c r="S191" s="123"/>
      <c r="T191" s="122"/>
      <c r="U191" s="123"/>
      <c r="V191" s="122"/>
      <c r="W191" s="123"/>
      <c r="X191" s="123" t="s">
        <v>173</v>
      </c>
      <c r="Y191" s="122"/>
      <c r="Z191" s="123"/>
      <c r="AA191" s="123" t="s">
        <v>200</v>
      </c>
      <c r="AB191" s="21"/>
      <c r="AC191" s="20"/>
      <c r="AD191" s="20">
        <v>315000000</v>
      </c>
      <c r="AE191" s="21"/>
      <c r="AF191" s="20"/>
      <c r="AG191" s="130" t="s">
        <v>176</v>
      </c>
      <c r="AH191" s="21"/>
      <c r="AI191" s="20"/>
      <c r="AJ191" s="130"/>
      <c r="AK191" s="124"/>
      <c r="AN191" s="6"/>
      <c r="AO191" s="6"/>
      <c r="AP191" s="6"/>
      <c r="AQ191" s="6"/>
      <c r="AR191" s="6"/>
      <c r="AS191" s="6"/>
      <c r="AT191" s="6"/>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7"/>
      <c r="CE191" s="7"/>
      <c r="CF191" s="7"/>
      <c r="CG191" s="7"/>
      <c r="CH191" s="7"/>
      <c r="CI191" s="7"/>
      <c r="CJ191" s="7"/>
      <c r="CK191" s="7"/>
      <c r="CL191" s="7"/>
      <c r="CM191" s="7"/>
      <c r="CN191" s="7"/>
      <c r="CO191" s="7"/>
      <c r="CP191" s="7"/>
      <c r="CQ191" s="7"/>
      <c r="CR191" s="7"/>
      <c r="CS191" s="7"/>
      <c r="CT191" s="7"/>
      <c r="CU191" s="7"/>
      <c r="CV191" s="7"/>
      <c r="CW191" s="7"/>
      <c r="CX191" s="7"/>
      <c r="CY191" s="7"/>
      <c r="CZ191" s="7"/>
      <c r="DA191" s="7"/>
    </row>
    <row r="192" spans="1:105" ht="12" customHeight="1" x14ac:dyDescent="0.25">
      <c r="A192" s="121"/>
      <c r="B192" s="122"/>
      <c r="C192" s="123"/>
      <c r="D192" s="222"/>
      <c r="E192" s="222"/>
      <c r="F192" s="222"/>
      <c r="G192" s="222"/>
      <c r="H192" s="222"/>
      <c r="I192" s="122"/>
      <c r="J192" s="123"/>
      <c r="K192" s="123"/>
      <c r="L192" s="122"/>
      <c r="M192" s="123"/>
      <c r="N192" s="123"/>
      <c r="O192" s="122"/>
      <c r="P192" s="123"/>
      <c r="Q192" s="123"/>
      <c r="R192" s="123"/>
      <c r="S192" s="123"/>
      <c r="T192" s="122"/>
      <c r="U192" s="123"/>
      <c r="V192" s="122"/>
      <c r="W192" s="123"/>
      <c r="X192" s="123"/>
      <c r="Y192" s="122"/>
      <c r="Z192" s="123"/>
      <c r="AA192" s="91" t="s">
        <v>178</v>
      </c>
      <c r="AB192" s="21"/>
      <c r="AC192" s="20"/>
      <c r="AD192" s="20"/>
      <c r="AE192" s="21"/>
      <c r="AF192" s="20"/>
      <c r="AG192" s="130"/>
      <c r="AH192" s="21"/>
      <c r="AI192" s="20"/>
      <c r="AJ192" s="130"/>
      <c r="AK192" s="124"/>
      <c r="AN192" s="6"/>
      <c r="AO192" s="6"/>
      <c r="AP192" s="6"/>
      <c r="AQ192" s="6"/>
      <c r="AR192" s="6"/>
      <c r="AS192" s="6"/>
      <c r="AT192" s="6"/>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row>
    <row r="193" spans="1:105" ht="12" customHeight="1" x14ac:dyDescent="0.25">
      <c r="A193" s="121"/>
      <c r="B193" s="122"/>
      <c r="C193" s="123"/>
      <c r="D193" s="123"/>
      <c r="E193" s="123"/>
      <c r="F193" s="123"/>
      <c r="G193" s="123"/>
      <c r="H193" s="123"/>
      <c r="I193" s="122"/>
      <c r="J193" s="123"/>
      <c r="K193" s="123"/>
      <c r="L193" s="122"/>
      <c r="M193" s="123"/>
      <c r="N193" s="123"/>
      <c r="O193" s="122"/>
      <c r="P193" s="123"/>
      <c r="Q193" s="123"/>
      <c r="R193" s="123"/>
      <c r="S193" s="123"/>
      <c r="T193" s="122"/>
      <c r="U193" s="123"/>
      <c r="V193" s="122"/>
      <c r="W193" s="123"/>
      <c r="X193" s="123"/>
      <c r="Y193" s="122"/>
      <c r="Z193" s="123"/>
      <c r="AA193" s="123"/>
      <c r="AB193" s="21"/>
      <c r="AC193" s="20"/>
      <c r="AD193" s="20"/>
      <c r="AE193" s="21"/>
      <c r="AF193" s="20"/>
      <c r="AG193" s="130"/>
      <c r="AH193" s="21"/>
      <c r="AI193" s="20"/>
      <c r="AJ193" s="130"/>
      <c r="AK193" s="124"/>
      <c r="AN193" s="6"/>
      <c r="AO193" s="6"/>
      <c r="AP193" s="6"/>
      <c r="AQ193" s="6"/>
      <c r="AR193" s="6"/>
      <c r="AS193" s="6"/>
      <c r="AT193" s="6"/>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row>
    <row r="194" spans="1:105" ht="12" customHeight="1" x14ac:dyDescent="0.25">
      <c r="A194" s="121">
        <v>7</v>
      </c>
      <c r="B194" s="122"/>
      <c r="C194" s="123"/>
      <c r="D194" s="213" t="s">
        <v>201</v>
      </c>
      <c r="E194" s="213"/>
      <c r="F194" s="213"/>
      <c r="G194" s="213"/>
      <c r="H194" s="213"/>
      <c r="I194" s="122"/>
      <c r="J194" s="123"/>
      <c r="K194" s="123" t="s">
        <v>127</v>
      </c>
      <c r="L194" s="122"/>
      <c r="M194" s="123"/>
      <c r="N194" s="123" t="s">
        <v>173</v>
      </c>
      <c r="O194" s="122"/>
      <c r="P194" s="123"/>
      <c r="Q194" s="123" t="s">
        <v>193</v>
      </c>
      <c r="R194" s="123"/>
      <c r="S194" s="123"/>
      <c r="T194" s="122"/>
      <c r="U194" s="123"/>
      <c r="V194" s="122"/>
      <c r="W194" s="123"/>
      <c r="X194" s="123" t="s">
        <v>173</v>
      </c>
      <c r="Y194" s="122"/>
      <c r="Z194" s="123"/>
      <c r="AA194" s="123" t="s">
        <v>175</v>
      </c>
      <c r="AB194" s="21"/>
      <c r="AC194" s="20"/>
      <c r="AD194" s="20">
        <v>280000000</v>
      </c>
      <c r="AE194" s="21"/>
      <c r="AF194" s="20"/>
      <c r="AG194" s="130" t="s">
        <v>176</v>
      </c>
      <c r="AH194" s="21"/>
      <c r="AI194" s="20"/>
      <c r="AJ194" s="130"/>
      <c r="AK194" s="124"/>
      <c r="AN194" s="6"/>
      <c r="AO194" s="6"/>
      <c r="AP194" s="6"/>
      <c r="AQ194" s="6"/>
      <c r="AR194" s="6"/>
      <c r="AS194" s="6"/>
      <c r="AT194" s="6"/>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s="7"/>
      <c r="CW194" s="7"/>
      <c r="CX194" s="7"/>
      <c r="CY194" s="7"/>
      <c r="CZ194" s="7"/>
      <c r="DA194" s="7"/>
    </row>
    <row r="195" spans="1:105" ht="12" customHeight="1" x14ac:dyDescent="0.25">
      <c r="A195" s="121"/>
      <c r="B195" s="122"/>
      <c r="C195" s="123"/>
      <c r="D195" s="213"/>
      <c r="E195" s="213"/>
      <c r="F195" s="213"/>
      <c r="G195" s="213"/>
      <c r="H195" s="213"/>
      <c r="I195" s="122"/>
      <c r="J195" s="123"/>
      <c r="K195" s="123"/>
      <c r="L195" s="122"/>
      <c r="M195" s="123"/>
      <c r="N195" s="123"/>
      <c r="O195" s="122"/>
      <c r="P195" s="123"/>
      <c r="Q195" s="123"/>
      <c r="R195" s="123"/>
      <c r="S195" s="123"/>
      <c r="T195" s="122"/>
      <c r="U195" s="123"/>
      <c r="V195" s="122"/>
      <c r="W195" s="123"/>
      <c r="X195" s="123"/>
      <c r="Y195" s="122"/>
      <c r="Z195" s="123"/>
      <c r="AA195" s="91" t="s">
        <v>178</v>
      </c>
      <c r="AB195" s="21"/>
      <c r="AC195" s="20"/>
      <c r="AD195" s="20"/>
      <c r="AE195" s="21"/>
      <c r="AF195" s="20"/>
      <c r="AG195" s="130"/>
      <c r="AH195" s="21"/>
      <c r="AI195" s="20"/>
      <c r="AJ195" s="130"/>
      <c r="AK195" s="124"/>
      <c r="AN195" s="6"/>
      <c r="AO195" s="6"/>
      <c r="AP195" s="6"/>
      <c r="AQ195" s="6"/>
      <c r="AR195" s="6"/>
      <c r="AS195" s="6"/>
      <c r="AT195" s="6"/>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c r="CX195" s="7"/>
      <c r="CY195" s="7"/>
      <c r="CZ195" s="7"/>
      <c r="DA195" s="7"/>
    </row>
    <row r="196" spans="1:105" ht="12" customHeight="1" x14ac:dyDescent="0.25">
      <c r="A196" s="121"/>
      <c r="B196" s="122"/>
      <c r="C196" s="123"/>
      <c r="D196" s="215"/>
      <c r="E196" s="215"/>
      <c r="F196" s="215"/>
      <c r="G196" s="215"/>
      <c r="H196" s="215"/>
      <c r="I196" s="122"/>
      <c r="J196" s="123"/>
      <c r="K196" s="123"/>
      <c r="L196" s="122"/>
      <c r="M196" s="123"/>
      <c r="N196" s="123"/>
      <c r="O196" s="122"/>
      <c r="P196" s="123"/>
      <c r="Q196" s="123"/>
      <c r="R196" s="123"/>
      <c r="S196" s="123"/>
      <c r="T196" s="122"/>
      <c r="U196" s="123"/>
      <c r="V196" s="122"/>
      <c r="W196" s="123"/>
      <c r="X196" s="123"/>
      <c r="Y196" s="122"/>
      <c r="Z196" s="123"/>
      <c r="AA196" s="91"/>
      <c r="AB196" s="21"/>
      <c r="AC196" s="20"/>
      <c r="AD196" s="20"/>
      <c r="AE196" s="21"/>
      <c r="AF196" s="20"/>
      <c r="AG196" s="130"/>
      <c r="AH196" s="21"/>
      <c r="AI196" s="20"/>
      <c r="AJ196" s="130"/>
      <c r="AK196" s="124"/>
      <c r="AN196" s="6"/>
      <c r="AO196" s="6"/>
      <c r="AP196" s="6"/>
      <c r="AQ196" s="6"/>
      <c r="AR196" s="6"/>
      <c r="AS196" s="6"/>
      <c r="AT196" s="6"/>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c r="CW196" s="7"/>
      <c r="CX196" s="7"/>
      <c r="CY196" s="7"/>
      <c r="CZ196" s="7"/>
      <c r="DA196" s="7"/>
    </row>
    <row r="197" spans="1:105" ht="12" customHeight="1" x14ac:dyDescent="0.25">
      <c r="A197" s="121"/>
      <c r="B197" s="122"/>
      <c r="C197" s="123"/>
      <c r="D197" s="163"/>
      <c r="E197" s="163"/>
      <c r="F197" s="163"/>
      <c r="G197" s="163"/>
      <c r="H197" s="163"/>
      <c r="I197" s="122"/>
      <c r="J197" s="123"/>
      <c r="K197" s="123"/>
      <c r="L197" s="122"/>
      <c r="M197" s="123"/>
      <c r="N197" s="123"/>
      <c r="O197" s="122"/>
      <c r="P197" s="123"/>
      <c r="Q197" s="123"/>
      <c r="R197" s="123"/>
      <c r="S197" s="123"/>
      <c r="T197" s="122"/>
      <c r="U197" s="123"/>
      <c r="V197" s="122"/>
      <c r="W197" s="123"/>
      <c r="X197" s="123"/>
      <c r="Y197" s="122"/>
      <c r="Z197" s="123"/>
      <c r="AA197" s="91"/>
      <c r="AB197" s="21"/>
      <c r="AC197" s="20"/>
      <c r="AD197" s="20"/>
      <c r="AE197" s="21"/>
      <c r="AF197" s="20"/>
      <c r="AG197" s="130"/>
      <c r="AH197" s="21"/>
      <c r="AI197" s="20"/>
      <c r="AJ197" s="130"/>
      <c r="AK197" s="124"/>
      <c r="AN197" s="6"/>
      <c r="AO197" s="6"/>
      <c r="AP197" s="6"/>
      <c r="AQ197" s="6"/>
      <c r="AR197" s="6"/>
      <c r="AS197" s="6"/>
      <c r="AT197" s="6"/>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7"/>
      <c r="CY197" s="7"/>
      <c r="CZ197" s="7"/>
      <c r="DA197" s="7"/>
    </row>
    <row r="198" spans="1:105" ht="12" customHeight="1" x14ac:dyDescent="0.25">
      <c r="A198" s="121">
        <v>8</v>
      </c>
      <c r="B198" s="122"/>
      <c r="C198" s="123"/>
      <c r="D198" s="213" t="s">
        <v>294</v>
      </c>
      <c r="E198" s="213"/>
      <c r="F198" s="213"/>
      <c r="G198" s="213"/>
      <c r="H198" s="213"/>
      <c r="I198" s="122"/>
      <c r="J198" s="123"/>
      <c r="K198" s="176" t="s">
        <v>127</v>
      </c>
      <c r="L198" s="122"/>
      <c r="M198" s="123"/>
      <c r="N198" s="167" t="s">
        <v>197</v>
      </c>
      <c r="O198" s="122"/>
      <c r="P198" s="123"/>
      <c r="Q198" s="176" t="s">
        <v>295</v>
      </c>
      <c r="R198" s="123"/>
      <c r="S198" s="123"/>
      <c r="T198" s="122"/>
      <c r="U198" s="123"/>
      <c r="V198" s="122"/>
      <c r="W198" s="123"/>
      <c r="X198" s="176" t="s">
        <v>21</v>
      </c>
      <c r="Y198" s="122"/>
      <c r="Z198" s="123"/>
      <c r="AA198" s="130" t="s">
        <v>296</v>
      </c>
      <c r="AB198" s="21"/>
      <c r="AC198" s="20"/>
      <c r="AD198" s="20">
        <v>719280000</v>
      </c>
      <c r="AE198" s="21"/>
      <c r="AF198" s="20"/>
      <c r="AG198" s="130" t="s">
        <v>298</v>
      </c>
      <c r="AH198" s="21"/>
      <c r="AI198" s="20"/>
      <c r="AJ198" s="130"/>
      <c r="AK198" s="124"/>
      <c r="AN198" s="6"/>
      <c r="AO198" s="6"/>
      <c r="AP198" s="6"/>
      <c r="AQ198" s="6"/>
      <c r="AR198" s="6"/>
      <c r="AS198" s="6"/>
      <c r="AT198" s="6"/>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row>
    <row r="199" spans="1:105" ht="12" customHeight="1" x14ac:dyDescent="0.25">
      <c r="A199" s="121"/>
      <c r="B199" s="122"/>
      <c r="C199" s="123"/>
      <c r="D199" s="213"/>
      <c r="E199" s="213"/>
      <c r="F199" s="213"/>
      <c r="G199" s="213"/>
      <c r="H199" s="213"/>
      <c r="I199" s="122"/>
      <c r="J199" s="123"/>
      <c r="K199" s="123"/>
      <c r="L199" s="122"/>
      <c r="M199" s="123"/>
      <c r="N199" s="123"/>
      <c r="O199" s="122"/>
      <c r="P199" s="123"/>
      <c r="Q199" s="123"/>
      <c r="R199" s="123"/>
      <c r="S199" s="123"/>
      <c r="T199" s="122"/>
      <c r="U199" s="123"/>
      <c r="V199" s="122"/>
      <c r="W199" s="123"/>
      <c r="X199" s="123"/>
      <c r="Y199" s="122"/>
      <c r="Z199" s="123"/>
      <c r="AA199" s="130" t="s">
        <v>297</v>
      </c>
      <c r="AB199" s="21"/>
      <c r="AC199" s="20"/>
      <c r="AD199" s="20"/>
      <c r="AE199" s="21"/>
      <c r="AF199" s="20"/>
      <c r="AG199" s="130"/>
      <c r="AH199" s="21"/>
      <c r="AI199" s="20"/>
      <c r="AJ199" s="130"/>
      <c r="AK199" s="124"/>
      <c r="AN199" s="6"/>
      <c r="AO199" s="6"/>
      <c r="AP199" s="6"/>
      <c r="AQ199" s="6"/>
      <c r="AR199" s="6"/>
      <c r="AS199" s="6"/>
      <c r="AT199" s="6"/>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c r="CX199" s="7"/>
      <c r="CY199" s="7"/>
      <c r="CZ199" s="7"/>
      <c r="DA199" s="7"/>
    </row>
    <row r="200" spans="1:105" ht="12" customHeight="1" x14ac:dyDescent="0.25">
      <c r="A200" s="121"/>
      <c r="B200" s="122"/>
      <c r="C200" s="123"/>
      <c r="D200" s="215"/>
      <c r="E200" s="215"/>
      <c r="F200" s="215"/>
      <c r="G200" s="215"/>
      <c r="H200" s="215"/>
      <c r="I200" s="122"/>
      <c r="J200" s="123"/>
      <c r="K200" s="123"/>
      <c r="L200" s="122"/>
      <c r="M200" s="123"/>
      <c r="N200" s="123"/>
      <c r="O200" s="122"/>
      <c r="P200" s="123"/>
      <c r="Q200" s="123"/>
      <c r="R200" s="123"/>
      <c r="S200" s="123"/>
      <c r="T200" s="122"/>
      <c r="U200" s="123"/>
      <c r="V200" s="122"/>
      <c r="W200" s="123"/>
      <c r="X200" s="123"/>
      <c r="Y200" s="122"/>
      <c r="Z200" s="123"/>
      <c r="AA200" s="91"/>
      <c r="AB200" s="21"/>
      <c r="AC200" s="20"/>
      <c r="AD200" s="20"/>
      <c r="AE200" s="21"/>
      <c r="AF200" s="20"/>
      <c r="AG200" s="130"/>
      <c r="AH200" s="21"/>
      <c r="AI200" s="20"/>
      <c r="AJ200" s="130"/>
      <c r="AK200" s="124"/>
      <c r="AN200" s="6"/>
      <c r="AO200" s="6"/>
      <c r="AP200" s="6"/>
      <c r="AQ200" s="6"/>
      <c r="AR200" s="6"/>
      <c r="AS200" s="6"/>
      <c r="AT200" s="6"/>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c r="CX200" s="7"/>
      <c r="CY200" s="7"/>
      <c r="CZ200" s="7"/>
      <c r="DA200" s="7"/>
    </row>
    <row r="201" spans="1:105" ht="12" customHeight="1" x14ac:dyDescent="0.25">
      <c r="A201" s="121"/>
      <c r="B201" s="122"/>
      <c r="C201" s="123"/>
      <c r="D201" s="123"/>
      <c r="E201" s="123"/>
      <c r="F201" s="123"/>
      <c r="G201" s="123"/>
      <c r="H201" s="123"/>
      <c r="I201" s="122"/>
      <c r="J201" s="123"/>
      <c r="K201" s="123"/>
      <c r="L201" s="122"/>
      <c r="M201" s="123"/>
      <c r="N201" s="123"/>
      <c r="O201" s="122"/>
      <c r="P201" s="123"/>
      <c r="Q201" s="123"/>
      <c r="R201" s="123"/>
      <c r="S201" s="123"/>
      <c r="T201" s="122"/>
      <c r="U201" s="123"/>
      <c r="V201" s="122"/>
      <c r="W201" s="123"/>
      <c r="X201" s="123"/>
      <c r="Y201" s="122"/>
      <c r="Z201" s="123"/>
      <c r="AA201" s="123"/>
      <c r="AB201" s="21"/>
      <c r="AC201" s="20"/>
      <c r="AD201" s="20"/>
      <c r="AE201" s="21"/>
      <c r="AF201" s="20"/>
      <c r="AG201" s="130"/>
      <c r="AH201" s="21"/>
      <c r="AI201" s="20"/>
      <c r="AJ201" s="130"/>
      <c r="AK201" s="124"/>
      <c r="AN201" s="6"/>
      <c r="AO201" s="6"/>
      <c r="AP201" s="6"/>
      <c r="AQ201" s="6"/>
      <c r="AR201" s="6"/>
      <c r="AS201" s="6"/>
      <c r="AT201" s="6"/>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c r="CX201" s="7"/>
      <c r="CY201" s="7"/>
      <c r="CZ201" s="7"/>
      <c r="DA201" s="7"/>
    </row>
    <row r="202" spans="1:105" ht="12" customHeight="1" x14ac:dyDescent="0.25">
      <c r="A202" s="121">
        <v>9</v>
      </c>
      <c r="B202" s="122"/>
      <c r="C202" s="123"/>
      <c r="D202" s="218" t="s">
        <v>308</v>
      </c>
      <c r="E202" s="218"/>
      <c r="F202" s="218"/>
      <c r="G202" s="218"/>
      <c r="H202" s="218"/>
      <c r="I202" s="87"/>
      <c r="J202" s="74"/>
      <c r="K202" s="74" t="s">
        <v>267</v>
      </c>
      <c r="L202" s="87"/>
      <c r="M202" s="74"/>
      <c r="N202" s="74" t="s">
        <v>119</v>
      </c>
      <c r="O202" s="87"/>
      <c r="P202" s="74"/>
      <c r="Q202" s="213" t="s">
        <v>309</v>
      </c>
      <c r="R202" s="213"/>
      <c r="S202" s="213"/>
      <c r="T202" s="87"/>
      <c r="U202" s="74"/>
      <c r="V202" s="87"/>
      <c r="W202" s="74"/>
      <c r="X202" s="74" t="s">
        <v>22</v>
      </c>
      <c r="Y202" s="87"/>
      <c r="Z202" s="74"/>
      <c r="AA202" s="74" t="s">
        <v>310</v>
      </c>
      <c r="AB202" s="177"/>
      <c r="AC202" s="178"/>
      <c r="AD202" s="178">
        <v>1953322500</v>
      </c>
      <c r="AE202" s="177"/>
      <c r="AF202" s="178"/>
      <c r="AG202" s="90">
        <v>45417</v>
      </c>
      <c r="AH202" s="177"/>
      <c r="AI202" s="178"/>
      <c r="AJ202" s="90"/>
      <c r="AK202" s="124"/>
      <c r="AN202" s="6"/>
      <c r="AO202" s="6"/>
      <c r="AP202" s="6"/>
      <c r="AQ202" s="6"/>
      <c r="AR202" s="6"/>
      <c r="AS202" s="6"/>
      <c r="AT202" s="6"/>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c r="CX202" s="7"/>
      <c r="CY202" s="7"/>
      <c r="CZ202" s="7"/>
      <c r="DA202" s="7"/>
    </row>
    <row r="203" spans="1:105" ht="12" customHeight="1" x14ac:dyDescent="0.25">
      <c r="A203" s="121"/>
      <c r="B203" s="122"/>
      <c r="C203" s="123"/>
      <c r="D203" s="218"/>
      <c r="E203" s="218"/>
      <c r="F203" s="218"/>
      <c r="G203" s="218"/>
      <c r="H203" s="218"/>
      <c r="I203" s="87"/>
      <c r="J203" s="74"/>
      <c r="K203" s="74"/>
      <c r="L203" s="87"/>
      <c r="M203" s="74"/>
      <c r="N203" s="74"/>
      <c r="O203" s="87"/>
      <c r="P203" s="74"/>
      <c r="Q203" s="213"/>
      <c r="R203" s="213"/>
      <c r="S203" s="213"/>
      <c r="T203" s="87"/>
      <c r="U203" s="74"/>
      <c r="V203" s="87"/>
      <c r="W203" s="74"/>
      <c r="X203" s="74"/>
      <c r="Y203" s="87"/>
      <c r="Z203" s="74"/>
      <c r="AA203" s="179" t="s">
        <v>311</v>
      </c>
      <c r="AB203" s="177"/>
      <c r="AC203" s="178"/>
      <c r="AD203" s="180"/>
      <c r="AE203" s="177"/>
      <c r="AF203" s="178"/>
      <c r="AG203" s="90"/>
      <c r="AH203" s="177"/>
      <c r="AI203" s="178"/>
      <c r="AJ203" s="88"/>
      <c r="AK203" s="124"/>
      <c r="AN203" s="6"/>
      <c r="AO203" s="6"/>
      <c r="AP203" s="6"/>
      <c r="AQ203" s="6"/>
      <c r="AR203" s="6"/>
      <c r="AS203" s="6"/>
      <c r="AT203" s="6"/>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c r="CX203" s="7"/>
      <c r="CY203" s="7"/>
      <c r="CZ203" s="7"/>
      <c r="DA203" s="7"/>
    </row>
    <row r="204" spans="1:105" ht="12" customHeight="1" x14ac:dyDescent="0.25">
      <c r="A204" s="121"/>
      <c r="B204" s="122"/>
      <c r="C204" s="123"/>
      <c r="D204" s="218"/>
      <c r="E204" s="218"/>
      <c r="F204" s="218"/>
      <c r="G204" s="218"/>
      <c r="H204" s="218"/>
      <c r="I204" s="87"/>
      <c r="J204" s="74"/>
      <c r="K204" s="74"/>
      <c r="L204" s="87"/>
      <c r="M204" s="74"/>
      <c r="N204" s="74"/>
      <c r="O204" s="87"/>
      <c r="P204" s="74"/>
      <c r="Q204" s="74"/>
      <c r="R204" s="74"/>
      <c r="S204" s="74"/>
      <c r="T204" s="87"/>
      <c r="U204" s="74"/>
      <c r="V204" s="87"/>
      <c r="W204" s="74"/>
      <c r="X204" s="74"/>
      <c r="Y204" s="87"/>
      <c r="Z204" s="74"/>
      <c r="AA204" s="90" t="s">
        <v>312</v>
      </c>
      <c r="AB204" s="131"/>
      <c r="AC204" s="132"/>
      <c r="AD204" s="132"/>
      <c r="AE204" s="131"/>
      <c r="AF204" s="132"/>
      <c r="AG204" s="90"/>
      <c r="AH204" s="131"/>
      <c r="AI204" s="132"/>
      <c r="AJ204" s="88"/>
      <c r="AK204" s="124"/>
      <c r="AN204" s="6"/>
      <c r="AO204" s="6"/>
      <c r="AP204" s="6"/>
      <c r="AQ204" s="6"/>
      <c r="AR204" s="6"/>
      <c r="AS204" s="6"/>
      <c r="AT204" s="6"/>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c r="CW204" s="7"/>
      <c r="CX204" s="7"/>
      <c r="CY204" s="7"/>
      <c r="CZ204" s="7"/>
      <c r="DA204" s="7"/>
    </row>
    <row r="205" spans="1:105" ht="12" customHeight="1" x14ac:dyDescent="0.25">
      <c r="A205" s="121"/>
      <c r="B205" s="122"/>
      <c r="C205" s="123"/>
      <c r="D205" s="218"/>
      <c r="E205" s="218"/>
      <c r="F205" s="218"/>
      <c r="G205" s="218"/>
      <c r="H205" s="218"/>
      <c r="I205" s="87"/>
      <c r="J205" s="74"/>
      <c r="K205" s="74"/>
      <c r="L205" s="87"/>
      <c r="M205" s="74"/>
      <c r="N205" s="74"/>
      <c r="O205" s="87"/>
      <c r="P205" s="74"/>
      <c r="Q205" s="74"/>
      <c r="R205" s="74"/>
      <c r="S205" s="74"/>
      <c r="T205" s="87"/>
      <c r="U205" s="74"/>
      <c r="V205" s="87"/>
      <c r="W205" s="74"/>
      <c r="X205" s="74"/>
      <c r="Y205" s="87"/>
      <c r="Z205" s="74"/>
      <c r="AA205" s="74"/>
      <c r="AB205" s="131"/>
      <c r="AC205" s="132"/>
      <c r="AD205" s="132"/>
      <c r="AE205" s="131"/>
      <c r="AF205" s="132"/>
      <c r="AG205" s="90"/>
      <c r="AH205" s="131"/>
      <c r="AI205" s="132"/>
      <c r="AJ205" s="88"/>
      <c r="AK205" s="124"/>
      <c r="AN205" s="6"/>
      <c r="AO205" s="6"/>
      <c r="AP205" s="6"/>
      <c r="AQ205" s="6"/>
      <c r="AR205" s="6"/>
      <c r="AS205" s="6"/>
      <c r="AT205" s="6"/>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c r="CX205" s="7"/>
      <c r="CY205" s="7"/>
      <c r="CZ205" s="7"/>
      <c r="DA205" s="7"/>
    </row>
    <row r="206" spans="1:105" ht="12" customHeight="1" x14ac:dyDescent="0.25">
      <c r="A206" s="121"/>
      <c r="B206" s="122"/>
      <c r="C206" s="123"/>
      <c r="D206" s="218"/>
      <c r="E206" s="218"/>
      <c r="F206" s="218"/>
      <c r="G206" s="218"/>
      <c r="H206" s="218"/>
      <c r="I206" s="87"/>
      <c r="J206" s="74"/>
      <c r="K206" s="74"/>
      <c r="L206" s="87"/>
      <c r="M206" s="74"/>
      <c r="N206" s="74"/>
      <c r="O206" s="87"/>
      <c r="P206" s="74"/>
      <c r="Q206" s="74"/>
      <c r="R206" s="74"/>
      <c r="S206" s="74"/>
      <c r="T206" s="87"/>
      <c r="U206" s="74"/>
      <c r="V206" s="87"/>
      <c r="W206" s="74"/>
      <c r="X206" s="74"/>
      <c r="Y206" s="87"/>
      <c r="Z206" s="74"/>
      <c r="AA206" s="74"/>
      <c r="AB206" s="131"/>
      <c r="AC206" s="132"/>
      <c r="AD206" s="132"/>
      <c r="AE206" s="131"/>
      <c r="AF206" s="132"/>
      <c r="AG206" s="90"/>
      <c r="AH206" s="131"/>
      <c r="AI206" s="132"/>
      <c r="AJ206" s="88"/>
      <c r="AK206" s="124"/>
      <c r="AN206" s="6"/>
      <c r="AO206" s="6"/>
      <c r="AP206" s="6"/>
      <c r="AQ206" s="6"/>
      <c r="AR206" s="6"/>
      <c r="AS206" s="6"/>
      <c r="AT206" s="6"/>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c r="CX206" s="7"/>
      <c r="CY206" s="7"/>
      <c r="CZ206" s="7"/>
      <c r="DA206" s="7"/>
    </row>
    <row r="207" spans="1:105" ht="12" customHeight="1" x14ac:dyDescent="0.25">
      <c r="A207" s="121"/>
      <c r="B207" s="122"/>
      <c r="C207" s="123"/>
      <c r="D207" s="218"/>
      <c r="E207" s="218"/>
      <c r="F207" s="218"/>
      <c r="G207" s="218"/>
      <c r="H207" s="218"/>
      <c r="I207" s="87"/>
      <c r="J207" s="74"/>
      <c r="K207" s="74"/>
      <c r="L207" s="87"/>
      <c r="M207" s="74"/>
      <c r="N207" s="74"/>
      <c r="O207" s="87"/>
      <c r="P207" s="74"/>
      <c r="Q207" s="74"/>
      <c r="R207" s="74"/>
      <c r="S207" s="74"/>
      <c r="T207" s="87"/>
      <c r="U207" s="74"/>
      <c r="V207" s="87"/>
      <c r="W207" s="74"/>
      <c r="X207" s="74"/>
      <c r="Y207" s="87"/>
      <c r="Z207" s="74"/>
      <c r="AA207" s="74"/>
      <c r="AB207" s="131"/>
      <c r="AC207" s="132"/>
      <c r="AD207" s="132"/>
      <c r="AE207" s="131"/>
      <c r="AF207" s="132"/>
      <c r="AG207" s="90"/>
      <c r="AH207" s="131"/>
      <c r="AI207" s="132"/>
      <c r="AJ207" s="88"/>
      <c r="AK207" s="124"/>
      <c r="AN207" s="6"/>
      <c r="AO207" s="6"/>
      <c r="AP207" s="6"/>
      <c r="AQ207" s="6"/>
      <c r="AR207" s="6"/>
      <c r="AS207" s="6"/>
      <c r="AT207" s="6"/>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c r="CX207" s="7"/>
      <c r="CY207" s="7"/>
      <c r="CZ207" s="7"/>
      <c r="DA207" s="7"/>
    </row>
    <row r="208" spans="1:105" ht="12" customHeight="1" x14ac:dyDescent="0.25">
      <c r="A208" s="121"/>
      <c r="B208" s="122"/>
      <c r="C208" s="123"/>
      <c r="D208" s="218"/>
      <c r="E208" s="218"/>
      <c r="F208" s="218"/>
      <c r="G208" s="218"/>
      <c r="H208" s="218"/>
      <c r="I208" s="87"/>
      <c r="J208" s="74"/>
      <c r="K208" s="74"/>
      <c r="L208" s="87"/>
      <c r="M208" s="74"/>
      <c r="N208" s="74"/>
      <c r="O208" s="87"/>
      <c r="P208" s="74"/>
      <c r="Q208" s="74"/>
      <c r="R208" s="74"/>
      <c r="S208" s="74"/>
      <c r="T208" s="87"/>
      <c r="U208" s="74"/>
      <c r="V208" s="87"/>
      <c r="W208" s="74"/>
      <c r="X208" s="74"/>
      <c r="Y208" s="87"/>
      <c r="Z208" s="74"/>
      <c r="AA208" s="74"/>
      <c r="AB208" s="131"/>
      <c r="AC208" s="132"/>
      <c r="AD208" s="132"/>
      <c r="AE208" s="131"/>
      <c r="AF208" s="132"/>
      <c r="AG208" s="90"/>
      <c r="AH208" s="131"/>
      <c r="AI208" s="132"/>
      <c r="AJ208" s="88"/>
      <c r="AK208" s="124"/>
      <c r="AN208" s="6"/>
      <c r="AO208" s="6"/>
      <c r="AP208" s="6"/>
      <c r="AQ208" s="6"/>
      <c r="AR208" s="6"/>
      <c r="AS208" s="6"/>
      <c r="AT208" s="6"/>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row>
    <row r="209" spans="1:105" ht="12" customHeight="1" x14ac:dyDescent="0.25">
      <c r="A209" s="121"/>
      <c r="B209" s="122"/>
      <c r="C209" s="123"/>
      <c r="D209" s="218"/>
      <c r="E209" s="218"/>
      <c r="F209" s="218"/>
      <c r="G209" s="218"/>
      <c r="H209" s="218"/>
      <c r="I209" s="87"/>
      <c r="J209" s="74"/>
      <c r="K209" s="74"/>
      <c r="L209" s="87"/>
      <c r="M209" s="74"/>
      <c r="N209" s="74"/>
      <c r="O209" s="87"/>
      <c r="P209" s="74"/>
      <c r="Q209" s="74"/>
      <c r="R209" s="74"/>
      <c r="S209" s="74"/>
      <c r="T209" s="87"/>
      <c r="U209" s="74"/>
      <c r="V209" s="87"/>
      <c r="W209" s="74"/>
      <c r="X209" s="74"/>
      <c r="Y209" s="87"/>
      <c r="Z209" s="74"/>
      <c r="AA209" s="74"/>
      <c r="AB209" s="131"/>
      <c r="AC209" s="132"/>
      <c r="AD209" s="132"/>
      <c r="AE209" s="131"/>
      <c r="AF209" s="132"/>
      <c r="AG209" s="90"/>
      <c r="AH209" s="131"/>
      <c r="AI209" s="132"/>
      <c r="AJ209" s="88"/>
      <c r="AK209" s="124"/>
      <c r="AN209" s="6"/>
      <c r="AO209" s="6"/>
      <c r="AP209" s="6"/>
      <c r="AQ209" s="6"/>
      <c r="AR209" s="6"/>
      <c r="AS209" s="6"/>
      <c r="AT209" s="6"/>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c r="CX209" s="7"/>
      <c r="CY209" s="7"/>
      <c r="CZ209" s="7"/>
      <c r="DA209" s="7"/>
    </row>
    <row r="210" spans="1:105" ht="12" customHeight="1" x14ac:dyDescent="0.25">
      <c r="A210" s="121"/>
      <c r="B210" s="122"/>
      <c r="C210" s="123"/>
      <c r="D210" s="74"/>
      <c r="E210" s="74"/>
      <c r="F210" s="74"/>
      <c r="G210" s="74"/>
      <c r="H210" s="74"/>
      <c r="I210" s="87"/>
      <c r="J210" s="74"/>
      <c r="K210" s="74"/>
      <c r="L210" s="87"/>
      <c r="M210" s="74"/>
      <c r="N210" s="74"/>
      <c r="O210" s="87"/>
      <c r="P210" s="74"/>
      <c r="Q210" s="161"/>
      <c r="R210" s="161"/>
      <c r="S210" s="161"/>
      <c r="T210" s="87"/>
      <c r="U210" s="74"/>
      <c r="V210" s="87"/>
      <c r="W210" s="74"/>
      <c r="X210" s="74"/>
      <c r="Y210" s="87"/>
      <c r="Z210" s="74"/>
      <c r="AA210" s="133"/>
      <c r="AB210" s="177"/>
      <c r="AC210" s="178"/>
      <c r="AD210" s="178"/>
      <c r="AE210" s="177"/>
      <c r="AF210" s="178"/>
      <c r="AG210" s="90"/>
      <c r="AH210" s="177"/>
      <c r="AI210" s="178"/>
      <c r="AJ210" s="88"/>
      <c r="AK210" s="124"/>
      <c r="AN210" s="6"/>
      <c r="AO210" s="6"/>
      <c r="AP210" s="6"/>
      <c r="AQ210" s="6"/>
      <c r="AR210" s="6"/>
      <c r="AS210" s="6"/>
      <c r="AT210" s="6"/>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c r="CW210" s="7"/>
      <c r="CX210" s="7"/>
      <c r="CY210" s="7"/>
      <c r="CZ210" s="7"/>
      <c r="DA210" s="7"/>
    </row>
    <row r="211" spans="1:105" ht="12" customHeight="1" x14ac:dyDescent="0.25">
      <c r="A211" s="121">
        <v>10</v>
      </c>
      <c r="B211" s="122"/>
      <c r="C211" s="123"/>
      <c r="D211" s="213" t="s">
        <v>313</v>
      </c>
      <c r="E211" s="213"/>
      <c r="F211" s="213"/>
      <c r="G211" s="213"/>
      <c r="H211" s="213"/>
      <c r="I211" s="87"/>
      <c r="J211" s="74"/>
      <c r="K211" s="74" t="s">
        <v>267</v>
      </c>
      <c r="L211" s="87"/>
      <c r="M211" s="74"/>
      <c r="N211" s="74" t="s">
        <v>314</v>
      </c>
      <c r="O211" s="87"/>
      <c r="P211" s="74"/>
      <c r="Q211" s="213" t="s">
        <v>309</v>
      </c>
      <c r="R211" s="213"/>
      <c r="S211" s="213"/>
      <c r="T211" s="87"/>
      <c r="U211" s="74"/>
      <c r="V211" s="87"/>
      <c r="W211" s="74"/>
      <c r="X211" s="74" t="s">
        <v>22</v>
      </c>
      <c r="Y211" s="87"/>
      <c r="Z211" s="74"/>
      <c r="AA211" s="74" t="s">
        <v>315</v>
      </c>
      <c r="AB211" s="177"/>
      <c r="AC211" s="178"/>
      <c r="AD211" s="178">
        <v>1558373400</v>
      </c>
      <c r="AE211" s="177"/>
      <c r="AF211" s="178"/>
      <c r="AG211" s="90">
        <v>45252</v>
      </c>
      <c r="AH211" s="177"/>
      <c r="AI211" s="178"/>
      <c r="AJ211" s="90"/>
      <c r="AK211" s="124"/>
      <c r="AN211" s="6"/>
      <c r="AO211" s="6"/>
      <c r="AP211" s="6"/>
      <c r="AQ211" s="6"/>
      <c r="AR211" s="6"/>
      <c r="AS211" s="6"/>
      <c r="AT211" s="6"/>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c r="CX211" s="7"/>
      <c r="CY211" s="7"/>
      <c r="CZ211" s="7"/>
      <c r="DA211" s="7"/>
    </row>
    <row r="212" spans="1:105" ht="12" customHeight="1" x14ac:dyDescent="0.25">
      <c r="A212" s="121"/>
      <c r="B212" s="122"/>
      <c r="C212" s="123"/>
      <c r="D212" s="213"/>
      <c r="E212" s="213"/>
      <c r="F212" s="213"/>
      <c r="G212" s="213"/>
      <c r="H212" s="213"/>
      <c r="I212" s="87"/>
      <c r="J212" s="74"/>
      <c r="K212" s="74"/>
      <c r="L212" s="87"/>
      <c r="M212" s="74"/>
      <c r="N212" s="74" t="s">
        <v>27</v>
      </c>
      <c r="O212" s="87"/>
      <c r="P212" s="74"/>
      <c r="Q212" s="213"/>
      <c r="R212" s="213"/>
      <c r="S212" s="213"/>
      <c r="T212" s="87"/>
      <c r="U212" s="74"/>
      <c r="V212" s="87"/>
      <c r="W212" s="74"/>
      <c r="X212" s="74"/>
      <c r="Y212" s="87"/>
      <c r="Z212" s="74"/>
      <c r="AA212" s="179" t="s">
        <v>316</v>
      </c>
      <c r="AB212" s="177"/>
      <c r="AC212" s="178"/>
      <c r="AD212" s="180"/>
      <c r="AE212" s="177"/>
      <c r="AF212" s="178"/>
      <c r="AG212" s="90"/>
      <c r="AH212" s="177"/>
      <c r="AI212" s="178"/>
      <c r="AJ212" s="88"/>
      <c r="AK212" s="124"/>
      <c r="AN212" s="6"/>
      <c r="AO212" s="6"/>
      <c r="AP212" s="6"/>
      <c r="AQ212" s="6"/>
      <c r="AR212" s="6"/>
      <c r="AS212" s="6"/>
      <c r="AT212" s="6"/>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c r="CW212" s="7"/>
      <c r="CX212" s="7"/>
      <c r="CY212" s="7"/>
      <c r="CZ212" s="7"/>
      <c r="DA212" s="7"/>
    </row>
    <row r="213" spans="1:105" ht="12" customHeight="1" x14ac:dyDescent="0.25">
      <c r="A213" s="121"/>
      <c r="B213" s="122"/>
      <c r="C213" s="123"/>
      <c r="D213" s="213"/>
      <c r="E213" s="213"/>
      <c r="F213" s="213"/>
      <c r="G213" s="213"/>
      <c r="H213" s="213"/>
      <c r="I213" s="87"/>
      <c r="J213" s="74"/>
      <c r="K213" s="74"/>
      <c r="L213" s="87"/>
      <c r="M213" s="74"/>
      <c r="N213" s="74"/>
      <c r="O213" s="87"/>
      <c r="P213" s="74"/>
      <c r="Q213" s="74"/>
      <c r="R213" s="74"/>
      <c r="S213" s="74"/>
      <c r="T213" s="87"/>
      <c r="U213" s="74"/>
      <c r="V213" s="87"/>
      <c r="W213" s="74"/>
      <c r="X213" s="74"/>
      <c r="Y213" s="87"/>
      <c r="Z213" s="74"/>
      <c r="AA213" s="90" t="s">
        <v>317</v>
      </c>
      <c r="AB213" s="131"/>
      <c r="AC213" s="132"/>
      <c r="AD213" s="132"/>
      <c r="AE213" s="131"/>
      <c r="AF213" s="132"/>
      <c r="AG213" s="90"/>
      <c r="AH213" s="131"/>
      <c r="AI213" s="132"/>
      <c r="AJ213" s="88"/>
      <c r="AK213" s="124"/>
      <c r="AN213" s="6"/>
      <c r="AO213" s="6"/>
      <c r="AP213" s="6"/>
      <c r="AQ213" s="6"/>
      <c r="AR213" s="6"/>
      <c r="AS213" s="6"/>
      <c r="AT213" s="6"/>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c r="CX213" s="7"/>
      <c r="CY213" s="7"/>
      <c r="CZ213" s="7"/>
      <c r="DA213" s="7"/>
    </row>
    <row r="214" spans="1:105" ht="12" customHeight="1" x14ac:dyDescent="0.25">
      <c r="A214" s="121"/>
      <c r="B214" s="122"/>
      <c r="C214" s="123"/>
      <c r="D214" s="213"/>
      <c r="E214" s="213"/>
      <c r="F214" s="213"/>
      <c r="G214" s="213"/>
      <c r="H214" s="213"/>
      <c r="I214" s="87"/>
      <c r="J214" s="74"/>
      <c r="K214" s="74"/>
      <c r="L214" s="87"/>
      <c r="M214" s="74"/>
      <c r="N214" s="74"/>
      <c r="O214" s="87"/>
      <c r="P214" s="74"/>
      <c r="Q214" s="74"/>
      <c r="R214" s="74"/>
      <c r="S214" s="74"/>
      <c r="T214" s="87"/>
      <c r="U214" s="74"/>
      <c r="V214" s="87"/>
      <c r="W214" s="74"/>
      <c r="X214" s="74"/>
      <c r="Y214" s="87"/>
      <c r="Z214" s="74"/>
      <c r="AA214" s="74"/>
      <c r="AB214" s="131"/>
      <c r="AC214" s="132"/>
      <c r="AD214" s="132"/>
      <c r="AE214" s="131"/>
      <c r="AF214" s="132"/>
      <c r="AG214" s="90"/>
      <c r="AH214" s="131"/>
      <c r="AI214" s="132"/>
      <c r="AJ214" s="88"/>
      <c r="AK214" s="124"/>
      <c r="AN214" s="6"/>
      <c r="AO214" s="6"/>
      <c r="AP214" s="6"/>
      <c r="AQ214" s="6"/>
      <c r="AR214" s="6"/>
      <c r="AS214" s="6"/>
      <c r="AT214" s="6"/>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c r="CW214" s="7"/>
      <c r="CX214" s="7"/>
      <c r="CY214" s="7"/>
      <c r="CZ214" s="7"/>
      <c r="DA214" s="7"/>
    </row>
    <row r="215" spans="1:105" ht="12" customHeight="1" x14ac:dyDescent="0.25">
      <c r="A215" s="121"/>
      <c r="B215" s="122"/>
      <c r="C215" s="123"/>
      <c r="D215" s="213"/>
      <c r="E215" s="213"/>
      <c r="F215" s="213"/>
      <c r="G215" s="213"/>
      <c r="H215" s="213"/>
      <c r="I215" s="87"/>
      <c r="J215" s="74"/>
      <c r="K215" s="74"/>
      <c r="L215" s="87"/>
      <c r="M215" s="74"/>
      <c r="N215" s="74"/>
      <c r="O215" s="87"/>
      <c r="P215" s="74"/>
      <c r="Q215" s="74"/>
      <c r="R215" s="74"/>
      <c r="S215" s="74"/>
      <c r="T215" s="87"/>
      <c r="U215" s="74"/>
      <c r="V215" s="87"/>
      <c r="W215" s="74"/>
      <c r="X215" s="74"/>
      <c r="Y215" s="87"/>
      <c r="Z215" s="74"/>
      <c r="AA215" s="74"/>
      <c r="AB215" s="131"/>
      <c r="AC215" s="132"/>
      <c r="AD215" s="132"/>
      <c r="AE215" s="131"/>
      <c r="AF215" s="132"/>
      <c r="AG215" s="90"/>
      <c r="AH215" s="131"/>
      <c r="AI215" s="132"/>
      <c r="AJ215" s="88"/>
      <c r="AK215" s="124"/>
      <c r="AN215" s="6"/>
      <c r="AO215" s="6"/>
      <c r="AP215" s="6"/>
      <c r="AQ215" s="6"/>
      <c r="AR215" s="6"/>
      <c r="AS215" s="6"/>
      <c r="AT215" s="6"/>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c r="CX215" s="7"/>
      <c r="CY215" s="7"/>
      <c r="CZ215" s="7"/>
      <c r="DA215" s="7"/>
    </row>
    <row r="216" spans="1:105" ht="12" customHeight="1" x14ac:dyDescent="0.25">
      <c r="A216" s="121"/>
      <c r="B216" s="122"/>
      <c r="C216" s="123"/>
      <c r="D216" s="213"/>
      <c r="E216" s="213"/>
      <c r="F216" s="213"/>
      <c r="G216" s="213"/>
      <c r="H216" s="213"/>
      <c r="I216" s="87"/>
      <c r="J216" s="74"/>
      <c r="K216" s="74"/>
      <c r="L216" s="87"/>
      <c r="M216" s="74"/>
      <c r="N216" s="74"/>
      <c r="O216" s="87"/>
      <c r="P216" s="74"/>
      <c r="Q216" s="74"/>
      <c r="R216" s="74"/>
      <c r="S216" s="74"/>
      <c r="T216" s="87"/>
      <c r="U216" s="74"/>
      <c r="V216" s="87"/>
      <c r="W216" s="74"/>
      <c r="X216" s="74"/>
      <c r="Y216" s="87"/>
      <c r="Z216" s="74"/>
      <c r="AA216" s="74"/>
      <c r="AB216" s="131"/>
      <c r="AC216" s="132"/>
      <c r="AD216" s="132"/>
      <c r="AE216" s="131"/>
      <c r="AF216" s="132"/>
      <c r="AG216" s="90"/>
      <c r="AH216" s="131"/>
      <c r="AI216" s="132"/>
      <c r="AJ216" s="88"/>
      <c r="AK216" s="124"/>
      <c r="AN216" s="6"/>
      <c r="AO216" s="6"/>
      <c r="AP216" s="6"/>
      <c r="AQ216" s="6"/>
      <c r="AR216" s="6"/>
      <c r="AS216" s="6"/>
      <c r="AT216" s="6"/>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c r="CW216" s="7"/>
      <c r="CX216" s="7"/>
      <c r="CY216" s="7"/>
      <c r="CZ216" s="7"/>
      <c r="DA216" s="7"/>
    </row>
    <row r="217" spans="1:105" ht="12" customHeight="1" x14ac:dyDescent="0.25">
      <c r="A217" s="121"/>
      <c r="B217" s="122"/>
      <c r="C217" s="123"/>
      <c r="D217" s="213"/>
      <c r="E217" s="213"/>
      <c r="F217" s="213"/>
      <c r="G217" s="213"/>
      <c r="H217" s="213"/>
      <c r="I217" s="87"/>
      <c r="J217" s="74"/>
      <c r="K217" s="74"/>
      <c r="L217" s="87"/>
      <c r="M217" s="74"/>
      <c r="N217" s="74"/>
      <c r="O217" s="87"/>
      <c r="P217" s="74"/>
      <c r="Q217" s="74"/>
      <c r="R217" s="74"/>
      <c r="S217" s="74"/>
      <c r="T217" s="87"/>
      <c r="U217" s="74"/>
      <c r="V217" s="87"/>
      <c r="W217" s="74"/>
      <c r="X217" s="74"/>
      <c r="Y217" s="87"/>
      <c r="Z217" s="74"/>
      <c r="AA217" s="74"/>
      <c r="AB217" s="131"/>
      <c r="AC217" s="132"/>
      <c r="AD217" s="132"/>
      <c r="AE217" s="131"/>
      <c r="AF217" s="132"/>
      <c r="AG217" s="90"/>
      <c r="AH217" s="131"/>
      <c r="AI217" s="132"/>
      <c r="AJ217" s="88"/>
      <c r="AK217" s="124"/>
      <c r="AN217" s="6"/>
      <c r="AO217" s="6"/>
      <c r="AP217" s="6"/>
      <c r="AQ217" s="6"/>
      <c r="AR217" s="6"/>
      <c r="AS217" s="6"/>
      <c r="AT217" s="6"/>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c r="CX217" s="7"/>
      <c r="CY217" s="7"/>
      <c r="CZ217" s="7"/>
      <c r="DA217" s="7"/>
    </row>
    <row r="218" spans="1:105" ht="12" customHeight="1" x14ac:dyDescent="0.25">
      <c r="A218" s="121"/>
      <c r="B218" s="122"/>
      <c r="C218" s="123"/>
      <c r="D218" s="213"/>
      <c r="E218" s="213"/>
      <c r="F218" s="213"/>
      <c r="G218" s="213"/>
      <c r="H218" s="213"/>
      <c r="I218" s="87"/>
      <c r="J218" s="74"/>
      <c r="K218" s="74"/>
      <c r="L218" s="87"/>
      <c r="M218" s="74"/>
      <c r="N218" s="74"/>
      <c r="O218" s="87"/>
      <c r="P218" s="74"/>
      <c r="Q218" s="74"/>
      <c r="R218" s="74"/>
      <c r="S218" s="74"/>
      <c r="T218" s="87"/>
      <c r="U218" s="74"/>
      <c r="V218" s="87"/>
      <c r="W218" s="74"/>
      <c r="X218" s="74"/>
      <c r="Y218" s="87"/>
      <c r="Z218" s="74"/>
      <c r="AA218" s="74"/>
      <c r="AB218" s="131"/>
      <c r="AC218" s="132"/>
      <c r="AD218" s="132"/>
      <c r="AE218" s="131"/>
      <c r="AF218" s="132"/>
      <c r="AG218" s="90"/>
      <c r="AH218" s="131"/>
      <c r="AI218" s="132"/>
      <c r="AJ218" s="88"/>
      <c r="AK218" s="124"/>
      <c r="AN218" s="6"/>
      <c r="AO218" s="6"/>
      <c r="AP218" s="6"/>
      <c r="AQ218" s="6"/>
      <c r="AR218" s="6"/>
      <c r="AS218" s="6"/>
      <c r="AT218" s="6"/>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row>
    <row r="219" spans="1:105" ht="12" customHeight="1" x14ac:dyDescent="0.25">
      <c r="A219" s="121"/>
      <c r="B219" s="122"/>
      <c r="C219" s="123"/>
      <c r="D219" s="123"/>
      <c r="E219" s="123"/>
      <c r="F219" s="123"/>
      <c r="G219" s="123"/>
      <c r="H219" s="123"/>
      <c r="I219" s="122"/>
      <c r="J219" s="123"/>
      <c r="K219" s="123"/>
      <c r="L219" s="122"/>
      <c r="M219" s="123"/>
      <c r="N219" s="123"/>
      <c r="O219" s="122"/>
      <c r="P219" s="123"/>
      <c r="Q219" s="123"/>
      <c r="R219" s="123"/>
      <c r="S219" s="123"/>
      <c r="T219" s="122"/>
      <c r="U219" s="123"/>
      <c r="V219" s="122"/>
      <c r="W219" s="123"/>
      <c r="X219" s="123"/>
      <c r="Y219" s="122"/>
      <c r="Z219" s="123"/>
      <c r="AA219" s="123"/>
      <c r="AB219" s="21"/>
      <c r="AC219" s="20"/>
      <c r="AD219" s="20"/>
      <c r="AE219" s="21"/>
      <c r="AF219" s="20"/>
      <c r="AG219" s="130"/>
      <c r="AH219" s="21"/>
      <c r="AI219" s="20"/>
      <c r="AJ219" s="130"/>
      <c r="AK219" s="124"/>
      <c r="AN219" s="6"/>
      <c r="AO219" s="6"/>
      <c r="AP219" s="6"/>
      <c r="AQ219" s="6"/>
      <c r="AR219" s="6"/>
      <c r="AS219" s="6"/>
      <c r="AT219" s="6"/>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row>
    <row r="220" spans="1:105" ht="12" customHeight="1" x14ac:dyDescent="0.25">
      <c r="A220" s="121">
        <v>11</v>
      </c>
      <c r="B220" s="122"/>
      <c r="C220" s="123"/>
      <c r="D220" s="213" t="s">
        <v>179</v>
      </c>
      <c r="E220" s="222"/>
      <c r="F220" s="222"/>
      <c r="G220" s="222"/>
      <c r="H220" s="222"/>
      <c r="I220" s="122"/>
      <c r="J220" s="123"/>
      <c r="K220" s="123" t="s">
        <v>127</v>
      </c>
      <c r="L220" s="122"/>
      <c r="M220" s="123"/>
      <c r="N220" s="123" t="s">
        <v>173</v>
      </c>
      <c r="O220" s="122"/>
      <c r="P220" s="123"/>
      <c r="Q220" s="123" t="s">
        <v>193</v>
      </c>
      <c r="R220" s="123"/>
      <c r="S220" s="123"/>
      <c r="T220" s="122"/>
      <c r="U220" s="123"/>
      <c r="V220" s="122"/>
      <c r="W220" s="123"/>
      <c r="X220" s="123" t="s">
        <v>173</v>
      </c>
      <c r="Y220" s="122"/>
      <c r="Z220" s="123"/>
      <c r="AA220" s="123" t="s">
        <v>180</v>
      </c>
      <c r="AB220" s="21"/>
      <c r="AC220" s="20"/>
      <c r="AD220" s="20">
        <v>310000000</v>
      </c>
      <c r="AE220" s="21"/>
      <c r="AF220" s="20"/>
      <c r="AG220" s="91" t="s">
        <v>202</v>
      </c>
      <c r="AH220" s="21"/>
      <c r="AI220" s="20"/>
      <c r="AJ220" s="130"/>
      <c r="AK220" s="124"/>
      <c r="AN220" s="6"/>
      <c r="AO220" s="6"/>
      <c r="AP220" s="6"/>
      <c r="AQ220" s="6"/>
      <c r="AR220" s="6"/>
      <c r="AS220" s="6"/>
      <c r="AT220" s="6"/>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c r="CW220" s="7"/>
      <c r="CX220" s="7"/>
      <c r="CY220" s="7"/>
      <c r="CZ220" s="7"/>
      <c r="DA220" s="7"/>
    </row>
    <row r="221" spans="1:105" ht="12" customHeight="1" x14ac:dyDescent="0.25">
      <c r="A221" s="121"/>
      <c r="B221" s="122"/>
      <c r="C221" s="123"/>
      <c r="D221" s="222"/>
      <c r="E221" s="222"/>
      <c r="F221" s="222"/>
      <c r="G221" s="222"/>
      <c r="H221" s="222"/>
      <c r="I221" s="122"/>
      <c r="J221" s="123"/>
      <c r="K221" s="123"/>
      <c r="L221" s="122"/>
      <c r="M221" s="123"/>
      <c r="N221" s="123"/>
      <c r="O221" s="122"/>
      <c r="P221" s="123"/>
      <c r="Q221" s="123"/>
      <c r="R221" s="123"/>
      <c r="S221" s="123"/>
      <c r="T221" s="122"/>
      <c r="U221" s="123"/>
      <c r="V221" s="122"/>
      <c r="W221" s="123"/>
      <c r="X221" s="123"/>
      <c r="Y221" s="122"/>
      <c r="Z221" s="123"/>
      <c r="AA221" s="91" t="s">
        <v>183</v>
      </c>
      <c r="AB221" s="21"/>
      <c r="AC221" s="20"/>
      <c r="AD221" s="20"/>
      <c r="AE221" s="21"/>
      <c r="AF221" s="20"/>
      <c r="AG221" s="130"/>
      <c r="AH221" s="21"/>
      <c r="AI221" s="20"/>
      <c r="AJ221" s="130"/>
      <c r="AK221" s="124"/>
      <c r="AN221" s="6"/>
      <c r="AO221" s="6"/>
      <c r="AP221" s="6"/>
      <c r="AQ221" s="6"/>
      <c r="AR221" s="6"/>
      <c r="AS221" s="6"/>
      <c r="AT221" s="6"/>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c r="CX221" s="7"/>
      <c r="CY221" s="7"/>
      <c r="CZ221" s="7"/>
      <c r="DA221" s="7"/>
    </row>
    <row r="222" spans="1:105" ht="12" customHeight="1" x14ac:dyDescent="0.25">
      <c r="A222" s="121"/>
      <c r="B222" s="122"/>
      <c r="C222" s="123"/>
      <c r="D222" s="123"/>
      <c r="E222" s="123"/>
      <c r="F222" s="123"/>
      <c r="G222" s="123"/>
      <c r="H222" s="123"/>
      <c r="I222" s="122"/>
      <c r="J222" s="123"/>
      <c r="K222" s="123"/>
      <c r="L222" s="122"/>
      <c r="M222" s="123"/>
      <c r="N222" s="123"/>
      <c r="O222" s="122"/>
      <c r="P222" s="123"/>
      <c r="Q222" s="123"/>
      <c r="R222" s="123"/>
      <c r="S222" s="123"/>
      <c r="T222" s="122"/>
      <c r="U222" s="123"/>
      <c r="V222" s="122"/>
      <c r="W222" s="123"/>
      <c r="X222" s="123"/>
      <c r="Y222" s="122"/>
      <c r="Z222" s="123"/>
      <c r="AA222" s="123"/>
      <c r="AB222" s="21"/>
      <c r="AC222" s="20"/>
      <c r="AD222" s="20"/>
      <c r="AE222" s="21"/>
      <c r="AF222" s="20"/>
      <c r="AG222" s="130"/>
      <c r="AH222" s="21"/>
      <c r="AI222" s="20"/>
      <c r="AJ222" s="130"/>
      <c r="AK222" s="124"/>
      <c r="AN222" s="6"/>
      <c r="AO222" s="6"/>
      <c r="AP222" s="6"/>
      <c r="AQ222" s="6"/>
      <c r="AR222" s="6"/>
      <c r="AS222" s="6"/>
      <c r="AT222" s="6"/>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c r="CW222" s="7"/>
      <c r="CX222" s="7"/>
      <c r="CY222" s="7"/>
      <c r="CZ222" s="7"/>
      <c r="DA222" s="7"/>
    </row>
    <row r="223" spans="1:105" ht="12" customHeight="1" x14ac:dyDescent="0.25">
      <c r="A223" s="121">
        <v>12</v>
      </c>
      <c r="B223" s="122"/>
      <c r="C223" s="123"/>
      <c r="D223" s="213" t="s">
        <v>203</v>
      </c>
      <c r="E223" s="213"/>
      <c r="F223" s="213"/>
      <c r="G223" s="213"/>
      <c r="H223" s="213"/>
      <c r="I223" s="122"/>
      <c r="J223" s="123"/>
      <c r="K223" s="123" t="s">
        <v>204</v>
      </c>
      <c r="L223" s="122"/>
      <c r="M223" s="123"/>
      <c r="N223" s="123" t="s">
        <v>173</v>
      </c>
      <c r="O223" s="122"/>
      <c r="P223" s="123"/>
      <c r="Q223" s="123" t="s">
        <v>193</v>
      </c>
      <c r="R223" s="123"/>
      <c r="S223" s="123"/>
      <c r="T223" s="122"/>
      <c r="U223" s="123"/>
      <c r="V223" s="122"/>
      <c r="W223" s="123"/>
      <c r="X223" s="123" t="s">
        <v>173</v>
      </c>
      <c r="Y223" s="122"/>
      <c r="Z223" s="123"/>
      <c r="AA223" s="123" t="s">
        <v>205</v>
      </c>
      <c r="AB223" s="21"/>
      <c r="AC223" s="20"/>
      <c r="AD223" s="20">
        <v>1400000000</v>
      </c>
      <c r="AE223" s="21"/>
      <c r="AF223" s="20"/>
      <c r="AG223" s="91" t="s">
        <v>202</v>
      </c>
      <c r="AH223" s="21"/>
      <c r="AI223" s="20"/>
      <c r="AJ223" s="130"/>
      <c r="AK223" s="124"/>
      <c r="AN223" s="6"/>
      <c r="AO223" s="6"/>
      <c r="AP223" s="6"/>
      <c r="AQ223" s="6"/>
      <c r="AR223" s="6"/>
      <c r="AS223" s="6"/>
      <c r="AT223" s="6"/>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c r="CX223" s="7"/>
      <c r="CY223" s="7"/>
      <c r="CZ223" s="7"/>
      <c r="DA223" s="7"/>
    </row>
    <row r="224" spans="1:105" ht="12" customHeight="1" x14ac:dyDescent="0.25">
      <c r="A224" s="121"/>
      <c r="B224" s="122"/>
      <c r="C224" s="123"/>
      <c r="D224" s="213"/>
      <c r="E224" s="213"/>
      <c r="F224" s="213"/>
      <c r="G224" s="213"/>
      <c r="H224" s="213"/>
      <c r="I224" s="122"/>
      <c r="J224" s="123"/>
      <c r="K224" s="123"/>
      <c r="L224" s="122"/>
      <c r="M224" s="123"/>
      <c r="N224" s="123"/>
      <c r="O224" s="122"/>
      <c r="P224" s="123"/>
      <c r="Q224" s="123"/>
      <c r="R224" s="123"/>
      <c r="S224" s="123"/>
      <c r="T224" s="122"/>
      <c r="U224" s="123"/>
      <c r="V224" s="122"/>
      <c r="W224" s="123"/>
      <c r="X224" s="123"/>
      <c r="Y224" s="122"/>
      <c r="Z224" s="123"/>
      <c r="AA224" s="91" t="s">
        <v>206</v>
      </c>
      <c r="AB224" s="21"/>
      <c r="AC224" s="20"/>
      <c r="AD224" s="20"/>
      <c r="AE224" s="21"/>
      <c r="AF224" s="20"/>
      <c r="AG224" s="130"/>
      <c r="AH224" s="21"/>
      <c r="AI224" s="20"/>
      <c r="AJ224" s="130"/>
      <c r="AK224" s="124"/>
      <c r="AN224" s="6"/>
      <c r="AO224" s="6"/>
      <c r="AP224" s="6"/>
      <c r="AQ224" s="6"/>
      <c r="AR224" s="6"/>
      <c r="AS224" s="6"/>
      <c r="AT224" s="6"/>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c r="CW224" s="7"/>
      <c r="CX224" s="7"/>
      <c r="CY224" s="7"/>
      <c r="CZ224" s="7"/>
      <c r="DA224" s="7"/>
    </row>
    <row r="225" spans="1:105" ht="12" customHeight="1" x14ac:dyDescent="0.25">
      <c r="A225" s="121"/>
      <c r="B225" s="122"/>
      <c r="C225" s="123"/>
      <c r="D225" s="215"/>
      <c r="E225" s="215"/>
      <c r="F225" s="215"/>
      <c r="G225" s="215"/>
      <c r="H225" s="215"/>
      <c r="I225" s="122"/>
      <c r="J225" s="123"/>
      <c r="K225" s="123"/>
      <c r="L225" s="122"/>
      <c r="M225" s="123"/>
      <c r="N225" s="123"/>
      <c r="O225" s="122"/>
      <c r="P225" s="123"/>
      <c r="Q225" s="123"/>
      <c r="R225" s="123"/>
      <c r="S225" s="123"/>
      <c r="T225" s="122"/>
      <c r="U225" s="123"/>
      <c r="V225" s="122"/>
      <c r="W225" s="123"/>
      <c r="X225" s="123"/>
      <c r="Y225" s="122"/>
      <c r="Z225" s="123"/>
      <c r="AA225" s="123"/>
      <c r="AB225" s="21"/>
      <c r="AC225" s="20"/>
      <c r="AD225" s="20"/>
      <c r="AE225" s="21"/>
      <c r="AF225" s="20"/>
      <c r="AG225" s="130"/>
      <c r="AH225" s="21"/>
      <c r="AI225" s="20"/>
      <c r="AJ225" s="130"/>
      <c r="AK225" s="124"/>
      <c r="AN225" s="6"/>
      <c r="AO225" s="6"/>
      <c r="AP225" s="6"/>
      <c r="AQ225" s="6"/>
      <c r="AR225" s="6"/>
      <c r="AS225" s="6"/>
      <c r="AT225" s="6"/>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c r="CX225" s="7"/>
      <c r="CY225" s="7"/>
      <c r="CZ225" s="7"/>
      <c r="DA225" s="7"/>
    </row>
    <row r="226" spans="1:105" ht="12" customHeight="1" x14ac:dyDescent="0.25">
      <c r="A226" s="121"/>
      <c r="B226" s="122"/>
      <c r="C226" s="123"/>
      <c r="D226" s="123"/>
      <c r="E226" s="123"/>
      <c r="F226" s="123"/>
      <c r="G226" s="123"/>
      <c r="H226" s="123"/>
      <c r="I226" s="122"/>
      <c r="J226" s="123"/>
      <c r="K226" s="123"/>
      <c r="L226" s="122"/>
      <c r="M226" s="123"/>
      <c r="N226" s="123"/>
      <c r="O226" s="122"/>
      <c r="P226" s="123"/>
      <c r="Q226" s="123"/>
      <c r="R226" s="123"/>
      <c r="S226" s="123"/>
      <c r="T226" s="122"/>
      <c r="U226" s="123"/>
      <c r="V226" s="122"/>
      <c r="W226" s="123"/>
      <c r="X226" s="123"/>
      <c r="Y226" s="122"/>
      <c r="Z226" s="123"/>
      <c r="AA226" s="123"/>
      <c r="AB226" s="21"/>
      <c r="AC226" s="20"/>
      <c r="AD226" s="20"/>
      <c r="AE226" s="21"/>
      <c r="AF226" s="20"/>
      <c r="AG226" s="130"/>
      <c r="AH226" s="21"/>
      <c r="AI226" s="20"/>
      <c r="AJ226" s="130"/>
      <c r="AK226" s="124"/>
      <c r="AN226" s="6"/>
      <c r="AO226" s="6"/>
      <c r="AP226" s="6"/>
      <c r="AQ226" s="6"/>
      <c r="AR226" s="6"/>
      <c r="AS226" s="6"/>
      <c r="AT226" s="6"/>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c r="CW226" s="7"/>
      <c r="CX226" s="7"/>
      <c r="CY226" s="7"/>
      <c r="CZ226" s="7"/>
      <c r="DA226" s="7"/>
    </row>
    <row r="227" spans="1:105" ht="12" customHeight="1" x14ac:dyDescent="0.25">
      <c r="A227" s="121">
        <v>13</v>
      </c>
      <c r="B227" s="122"/>
      <c r="C227" s="123"/>
      <c r="D227" s="213" t="s">
        <v>318</v>
      </c>
      <c r="E227" s="213"/>
      <c r="F227" s="213"/>
      <c r="G227" s="213"/>
      <c r="H227" s="213"/>
      <c r="I227" s="87"/>
      <c r="J227" s="74"/>
      <c r="K227" s="123" t="s">
        <v>267</v>
      </c>
      <c r="L227" s="87"/>
      <c r="M227" s="74"/>
      <c r="N227" s="74" t="s">
        <v>319</v>
      </c>
      <c r="O227" s="87"/>
      <c r="P227" s="74"/>
      <c r="Q227" s="225" t="s">
        <v>309</v>
      </c>
      <c r="R227" s="225"/>
      <c r="S227" s="225"/>
      <c r="T227" s="122"/>
      <c r="U227" s="123"/>
      <c r="V227" s="122"/>
      <c r="W227" s="123"/>
      <c r="X227" s="123" t="s">
        <v>22</v>
      </c>
      <c r="Y227" s="87"/>
      <c r="Z227" s="74"/>
      <c r="AA227" s="92" t="s">
        <v>320</v>
      </c>
      <c r="AB227" s="177"/>
      <c r="AC227" s="178"/>
      <c r="AD227" s="178">
        <v>1828035000</v>
      </c>
      <c r="AE227" s="177"/>
      <c r="AF227" s="178"/>
      <c r="AG227" s="90" t="s">
        <v>117</v>
      </c>
      <c r="AH227" s="177"/>
      <c r="AI227" s="178"/>
      <c r="AJ227" s="88"/>
      <c r="AK227" s="124"/>
      <c r="AN227" s="6"/>
      <c r="AO227" s="6"/>
      <c r="AP227" s="6"/>
      <c r="AQ227" s="6"/>
      <c r="AR227" s="6"/>
      <c r="AS227" s="6"/>
      <c r="AT227" s="6"/>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c r="CX227" s="7"/>
      <c r="CY227" s="7"/>
      <c r="CZ227" s="7"/>
      <c r="DA227" s="7"/>
    </row>
    <row r="228" spans="1:105" ht="12" customHeight="1" x14ac:dyDescent="0.25">
      <c r="A228" s="121"/>
      <c r="B228" s="122"/>
      <c r="C228" s="123"/>
      <c r="D228" s="213"/>
      <c r="E228" s="213"/>
      <c r="F228" s="213"/>
      <c r="G228" s="213"/>
      <c r="H228" s="213"/>
      <c r="I228" s="87"/>
      <c r="J228" s="74"/>
      <c r="K228" s="123"/>
      <c r="L228" s="87"/>
      <c r="M228" s="74"/>
      <c r="N228" s="74"/>
      <c r="O228" s="87"/>
      <c r="P228" s="74"/>
      <c r="Q228" s="225"/>
      <c r="R228" s="225"/>
      <c r="S228" s="225"/>
      <c r="T228" s="122"/>
      <c r="U228" s="123"/>
      <c r="V228" s="122"/>
      <c r="W228" s="123"/>
      <c r="X228" s="123"/>
      <c r="Y228" s="87"/>
      <c r="Z228" s="74"/>
      <c r="AA228" s="88" t="s">
        <v>321</v>
      </c>
      <c r="AB228" s="177"/>
      <c r="AC228" s="178"/>
      <c r="AD228" s="178"/>
      <c r="AE228" s="177"/>
      <c r="AF228" s="178"/>
      <c r="AG228" s="90"/>
      <c r="AH228" s="177"/>
      <c r="AI228" s="178"/>
      <c r="AJ228" s="88"/>
      <c r="AK228" s="124"/>
      <c r="AN228" s="6"/>
      <c r="AO228" s="6"/>
      <c r="AP228" s="6"/>
      <c r="AQ228" s="6"/>
      <c r="AR228" s="6"/>
      <c r="AS228" s="6"/>
      <c r="AT228" s="6"/>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row>
    <row r="229" spans="1:105" ht="12" customHeight="1" x14ac:dyDescent="0.25">
      <c r="A229" s="121"/>
      <c r="B229" s="122"/>
      <c r="C229" s="123"/>
      <c r="D229" s="213"/>
      <c r="E229" s="213"/>
      <c r="F229" s="213"/>
      <c r="G229" s="213"/>
      <c r="H229" s="213"/>
      <c r="I229" s="87"/>
      <c r="J229" s="74"/>
      <c r="K229" s="74"/>
      <c r="L229" s="87"/>
      <c r="M229" s="74"/>
      <c r="N229" s="74"/>
      <c r="O229" s="87"/>
      <c r="P229" s="74"/>
      <c r="Q229" s="74"/>
      <c r="R229" s="74"/>
      <c r="S229" s="74"/>
      <c r="T229" s="87"/>
      <c r="U229" s="74"/>
      <c r="V229" s="87"/>
      <c r="W229" s="74"/>
      <c r="X229" s="74"/>
      <c r="Y229" s="87"/>
      <c r="Z229" s="74"/>
      <c r="AA229" s="74"/>
      <c r="AB229" s="177"/>
      <c r="AC229" s="178"/>
      <c r="AD229" s="178"/>
      <c r="AE229" s="177"/>
      <c r="AF229" s="178"/>
      <c r="AG229" s="90"/>
      <c r="AH229" s="177"/>
      <c r="AI229" s="178"/>
      <c r="AJ229" s="88"/>
      <c r="AK229" s="124"/>
      <c r="AN229" s="6"/>
      <c r="AO229" s="6"/>
      <c r="AP229" s="6"/>
      <c r="AQ229" s="6"/>
      <c r="AR229" s="6"/>
      <c r="AS229" s="6"/>
      <c r="AT229" s="6"/>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c r="CZ229" s="7"/>
      <c r="DA229" s="7"/>
    </row>
    <row r="230" spans="1:105" ht="12" customHeight="1" x14ac:dyDescent="0.25">
      <c r="A230" s="121"/>
      <c r="B230" s="122"/>
      <c r="C230" s="123"/>
      <c r="D230" s="213"/>
      <c r="E230" s="213"/>
      <c r="F230" s="213"/>
      <c r="G230" s="213"/>
      <c r="H230" s="213"/>
      <c r="I230" s="87"/>
      <c r="J230" s="74"/>
      <c r="K230" s="74"/>
      <c r="L230" s="87"/>
      <c r="M230" s="74"/>
      <c r="N230" s="74"/>
      <c r="O230" s="87"/>
      <c r="P230" s="74"/>
      <c r="Q230" s="74"/>
      <c r="R230" s="74"/>
      <c r="S230" s="74"/>
      <c r="T230" s="87"/>
      <c r="U230" s="74"/>
      <c r="V230" s="87"/>
      <c r="W230" s="74"/>
      <c r="X230" s="74"/>
      <c r="Y230" s="87"/>
      <c r="Z230" s="74"/>
      <c r="AA230" s="74"/>
      <c r="AB230" s="177"/>
      <c r="AC230" s="178"/>
      <c r="AD230" s="178"/>
      <c r="AE230" s="177"/>
      <c r="AF230" s="178"/>
      <c r="AG230" s="90"/>
      <c r="AH230" s="177"/>
      <c r="AI230" s="178"/>
      <c r="AJ230" s="88"/>
      <c r="AK230" s="124"/>
      <c r="AN230" s="6"/>
      <c r="AO230" s="6"/>
      <c r="AP230" s="6"/>
      <c r="AQ230" s="6"/>
      <c r="AR230" s="6"/>
      <c r="AS230" s="6"/>
      <c r="AT230" s="6"/>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c r="CX230" s="7"/>
      <c r="CY230" s="7"/>
      <c r="CZ230" s="7"/>
      <c r="DA230" s="7"/>
    </row>
    <row r="231" spans="1:105" ht="12" customHeight="1" x14ac:dyDescent="0.25">
      <c r="A231" s="121"/>
      <c r="B231" s="122"/>
      <c r="C231" s="123"/>
      <c r="D231" s="213"/>
      <c r="E231" s="213"/>
      <c r="F231" s="213"/>
      <c r="G231" s="213"/>
      <c r="H231" s="213"/>
      <c r="I231" s="87"/>
      <c r="J231" s="74"/>
      <c r="K231" s="74"/>
      <c r="L231" s="87"/>
      <c r="M231" s="74"/>
      <c r="N231" s="74"/>
      <c r="O231" s="87"/>
      <c r="P231" s="74"/>
      <c r="Q231" s="74"/>
      <c r="R231" s="74"/>
      <c r="S231" s="74"/>
      <c r="T231" s="87"/>
      <c r="U231" s="74"/>
      <c r="V231" s="87"/>
      <c r="W231" s="74"/>
      <c r="X231" s="74"/>
      <c r="Y231" s="87"/>
      <c r="Z231" s="74"/>
      <c r="AA231" s="74"/>
      <c r="AB231" s="177"/>
      <c r="AC231" s="178"/>
      <c r="AD231" s="178"/>
      <c r="AE231" s="177"/>
      <c r="AF231" s="178"/>
      <c r="AG231" s="90"/>
      <c r="AH231" s="177"/>
      <c r="AI231" s="178"/>
      <c r="AJ231" s="88"/>
      <c r="AK231" s="124"/>
      <c r="AN231" s="6"/>
      <c r="AO231" s="6"/>
      <c r="AP231" s="6"/>
      <c r="AQ231" s="6"/>
      <c r="AR231" s="6"/>
      <c r="AS231" s="6"/>
      <c r="AT231" s="6"/>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c r="CX231" s="7"/>
      <c r="CY231" s="7"/>
      <c r="CZ231" s="7"/>
      <c r="DA231" s="7"/>
    </row>
    <row r="232" spans="1:105" ht="12" customHeight="1" x14ac:dyDescent="0.25">
      <c r="A232" s="121"/>
      <c r="B232" s="122"/>
      <c r="C232" s="123"/>
      <c r="D232" s="213"/>
      <c r="E232" s="213"/>
      <c r="F232" s="213"/>
      <c r="G232" s="213"/>
      <c r="H232" s="213"/>
      <c r="I232" s="87"/>
      <c r="J232" s="74"/>
      <c r="K232" s="74"/>
      <c r="L232" s="87"/>
      <c r="M232" s="74"/>
      <c r="N232" s="74"/>
      <c r="O232" s="87"/>
      <c r="P232" s="74"/>
      <c r="Q232" s="74"/>
      <c r="R232" s="74"/>
      <c r="S232" s="74"/>
      <c r="T232" s="87"/>
      <c r="U232" s="74"/>
      <c r="V232" s="87"/>
      <c r="W232" s="74"/>
      <c r="X232" s="74"/>
      <c r="Y232" s="87"/>
      <c r="Z232" s="74"/>
      <c r="AA232" s="74"/>
      <c r="AB232" s="177"/>
      <c r="AC232" s="178"/>
      <c r="AD232" s="178"/>
      <c r="AE232" s="177"/>
      <c r="AF232" s="178"/>
      <c r="AG232" s="90"/>
      <c r="AH232" s="177"/>
      <c r="AI232" s="178"/>
      <c r="AJ232" s="88"/>
      <c r="AK232" s="124"/>
      <c r="AN232" s="6"/>
      <c r="AO232" s="6"/>
      <c r="AP232" s="6"/>
      <c r="AQ232" s="6"/>
      <c r="AR232" s="6"/>
      <c r="AS232" s="6"/>
      <c r="AT232" s="6"/>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c r="CW232" s="7"/>
      <c r="CX232" s="7"/>
      <c r="CY232" s="7"/>
      <c r="CZ232" s="7"/>
      <c r="DA232" s="7"/>
    </row>
    <row r="233" spans="1:105" ht="12" customHeight="1" x14ac:dyDescent="0.25">
      <c r="A233" s="121"/>
      <c r="B233" s="122"/>
      <c r="C233" s="123"/>
      <c r="D233" s="213"/>
      <c r="E233" s="213"/>
      <c r="F233" s="213"/>
      <c r="G233" s="213"/>
      <c r="H233" s="213"/>
      <c r="I233" s="87"/>
      <c r="J233" s="74"/>
      <c r="K233" s="74"/>
      <c r="L233" s="87"/>
      <c r="M233" s="74"/>
      <c r="N233" s="74"/>
      <c r="O233" s="87"/>
      <c r="P233" s="74"/>
      <c r="Q233" s="74"/>
      <c r="R233" s="74"/>
      <c r="S233" s="74"/>
      <c r="T233" s="87"/>
      <c r="U233" s="74"/>
      <c r="V233" s="87"/>
      <c r="W233" s="74"/>
      <c r="X233" s="74"/>
      <c r="Y233" s="87"/>
      <c r="Z233" s="74"/>
      <c r="AA233" s="74"/>
      <c r="AB233" s="177"/>
      <c r="AC233" s="178"/>
      <c r="AD233" s="178"/>
      <c r="AE233" s="177"/>
      <c r="AF233" s="178"/>
      <c r="AG233" s="90"/>
      <c r="AH233" s="177"/>
      <c r="AI233" s="178"/>
      <c r="AJ233" s="88"/>
      <c r="AK233" s="124"/>
      <c r="AN233" s="6"/>
      <c r="AO233" s="6"/>
      <c r="AP233" s="6"/>
      <c r="AQ233" s="6"/>
      <c r="AR233" s="6"/>
      <c r="AS233" s="6"/>
      <c r="AT233" s="6"/>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c r="CX233" s="7"/>
      <c r="CY233" s="7"/>
      <c r="CZ233" s="7"/>
      <c r="DA233" s="7"/>
    </row>
    <row r="234" spans="1:105" ht="12" customHeight="1" x14ac:dyDescent="0.25">
      <c r="A234" s="121"/>
      <c r="B234" s="122"/>
      <c r="C234" s="123"/>
      <c r="D234" s="123"/>
      <c r="E234" s="123"/>
      <c r="F234" s="123"/>
      <c r="G234" s="123"/>
      <c r="H234" s="123"/>
      <c r="I234" s="122"/>
      <c r="J234" s="123"/>
      <c r="K234" s="123"/>
      <c r="L234" s="122"/>
      <c r="M234" s="123"/>
      <c r="N234" s="123"/>
      <c r="O234" s="122"/>
      <c r="P234" s="123"/>
      <c r="Q234" s="123"/>
      <c r="R234" s="123"/>
      <c r="S234" s="123"/>
      <c r="T234" s="122"/>
      <c r="U234" s="123"/>
      <c r="V234" s="122"/>
      <c r="W234" s="123"/>
      <c r="X234" s="123"/>
      <c r="Y234" s="122"/>
      <c r="Z234" s="123"/>
      <c r="AA234" s="123"/>
      <c r="AB234" s="21"/>
      <c r="AC234" s="20"/>
      <c r="AD234" s="20"/>
      <c r="AE234" s="21"/>
      <c r="AF234" s="20"/>
      <c r="AG234" s="130"/>
      <c r="AH234" s="21"/>
      <c r="AI234" s="20"/>
      <c r="AJ234" s="130"/>
      <c r="AK234" s="124"/>
      <c r="AN234" s="6"/>
      <c r="AO234" s="6"/>
      <c r="AP234" s="6"/>
      <c r="AQ234" s="6"/>
      <c r="AR234" s="6"/>
      <c r="AS234" s="6"/>
      <c r="AT234" s="6"/>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c r="CW234" s="7"/>
      <c r="CX234" s="7"/>
      <c r="CY234" s="7"/>
      <c r="CZ234" s="7"/>
      <c r="DA234" s="7"/>
    </row>
    <row r="235" spans="1:105" ht="12" customHeight="1" x14ac:dyDescent="0.25">
      <c r="A235" s="121">
        <v>14</v>
      </c>
      <c r="B235" s="122"/>
      <c r="C235" s="123"/>
      <c r="D235" s="213" t="s">
        <v>207</v>
      </c>
      <c r="E235" s="222"/>
      <c r="F235" s="222"/>
      <c r="G235" s="222"/>
      <c r="H235" s="222"/>
      <c r="I235" s="122"/>
      <c r="J235" s="123"/>
      <c r="K235" s="123" t="s">
        <v>100</v>
      </c>
      <c r="L235" s="122"/>
      <c r="M235" s="123"/>
      <c r="N235" s="123" t="s">
        <v>186</v>
      </c>
      <c r="O235" s="122"/>
      <c r="P235" s="123"/>
      <c r="Q235" s="123" t="s">
        <v>208</v>
      </c>
      <c r="R235" s="123"/>
      <c r="S235" s="123"/>
      <c r="T235" s="122"/>
      <c r="U235" s="123"/>
      <c r="V235" s="122"/>
      <c r="W235" s="123"/>
      <c r="X235" s="123" t="s">
        <v>22</v>
      </c>
      <c r="Y235" s="122"/>
      <c r="Z235" s="123"/>
      <c r="AA235" s="91" t="s">
        <v>188</v>
      </c>
      <c r="AB235" s="21"/>
      <c r="AC235" s="20"/>
      <c r="AD235" s="20">
        <v>1461037500</v>
      </c>
      <c r="AE235" s="21"/>
      <c r="AF235" s="20"/>
      <c r="AG235" s="130" t="s">
        <v>209</v>
      </c>
      <c r="AH235" s="21"/>
      <c r="AI235" s="20"/>
      <c r="AJ235" s="130"/>
      <c r="AK235" s="124"/>
      <c r="AN235" s="6"/>
      <c r="AO235" s="6"/>
      <c r="AP235" s="6"/>
      <c r="AQ235" s="6"/>
      <c r="AR235" s="6"/>
      <c r="AS235" s="6"/>
      <c r="AT235" s="6"/>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c r="CX235" s="7"/>
      <c r="CY235" s="7"/>
      <c r="CZ235" s="7"/>
      <c r="DA235" s="7"/>
    </row>
    <row r="236" spans="1:105" ht="12" customHeight="1" x14ac:dyDescent="0.25">
      <c r="A236" s="121"/>
      <c r="B236" s="122"/>
      <c r="C236" s="123"/>
      <c r="D236" s="222"/>
      <c r="E236" s="222"/>
      <c r="F236" s="222"/>
      <c r="G236" s="222"/>
      <c r="H236" s="222"/>
      <c r="I236" s="122"/>
      <c r="J236" s="123"/>
      <c r="K236" s="123"/>
      <c r="L236" s="122"/>
      <c r="M236" s="123"/>
      <c r="N236" s="123"/>
      <c r="O236" s="122"/>
      <c r="P236" s="123"/>
      <c r="Q236" s="123"/>
      <c r="R236" s="123"/>
      <c r="S236" s="123"/>
      <c r="T236" s="122"/>
      <c r="U236" s="123"/>
      <c r="V236" s="122"/>
      <c r="W236" s="123"/>
      <c r="X236" s="123"/>
      <c r="Y236" s="122"/>
      <c r="Z236" s="123"/>
      <c r="AA236" s="91" t="s">
        <v>191</v>
      </c>
      <c r="AB236" s="21"/>
      <c r="AC236" s="20"/>
      <c r="AD236" s="20"/>
      <c r="AE236" s="21"/>
      <c r="AF236" s="20"/>
      <c r="AG236" s="130"/>
      <c r="AH236" s="21"/>
      <c r="AI236" s="20"/>
      <c r="AJ236" s="130"/>
      <c r="AK236" s="124"/>
      <c r="AN236" s="6"/>
      <c r="AO236" s="6"/>
      <c r="AP236" s="6"/>
      <c r="AQ236" s="6"/>
      <c r="AR236" s="6"/>
      <c r="AS236" s="6"/>
      <c r="AT236" s="6"/>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c r="CW236" s="7"/>
      <c r="CX236" s="7"/>
      <c r="CY236" s="7"/>
      <c r="CZ236" s="7"/>
      <c r="DA236" s="7"/>
    </row>
    <row r="237" spans="1:105" ht="12" customHeight="1" x14ac:dyDescent="0.25">
      <c r="A237" s="121"/>
      <c r="B237" s="122"/>
      <c r="C237" s="123"/>
      <c r="D237" s="123"/>
      <c r="E237" s="123"/>
      <c r="F237" s="123"/>
      <c r="G237" s="123"/>
      <c r="H237" s="123"/>
      <c r="I237" s="122"/>
      <c r="J237" s="123"/>
      <c r="K237" s="123"/>
      <c r="L237" s="122"/>
      <c r="M237" s="123"/>
      <c r="N237" s="123"/>
      <c r="O237" s="122"/>
      <c r="P237" s="123"/>
      <c r="Q237" s="123"/>
      <c r="R237" s="123"/>
      <c r="S237" s="123"/>
      <c r="T237" s="122"/>
      <c r="U237" s="123"/>
      <c r="V237" s="122"/>
      <c r="W237" s="123"/>
      <c r="X237" s="123"/>
      <c r="Y237" s="122"/>
      <c r="Z237" s="123"/>
      <c r="AA237" s="123"/>
      <c r="AB237" s="21"/>
      <c r="AC237" s="20"/>
      <c r="AD237" s="20"/>
      <c r="AE237" s="21"/>
      <c r="AF237" s="20"/>
      <c r="AG237" s="130"/>
      <c r="AH237" s="21"/>
      <c r="AI237" s="20"/>
      <c r="AJ237" s="130"/>
      <c r="AK237" s="124"/>
      <c r="AN237" s="6"/>
      <c r="AO237" s="6"/>
      <c r="AP237" s="6"/>
      <c r="AQ237" s="6"/>
      <c r="AR237" s="6"/>
      <c r="AS237" s="6"/>
      <c r="AT237" s="6"/>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c r="CX237" s="7"/>
      <c r="CY237" s="7"/>
      <c r="CZ237" s="7"/>
      <c r="DA237" s="7"/>
    </row>
    <row r="238" spans="1:105" ht="12" customHeight="1" x14ac:dyDescent="0.25">
      <c r="A238" s="121">
        <v>15</v>
      </c>
      <c r="B238" s="122"/>
      <c r="C238" s="123"/>
      <c r="D238" s="213" t="s">
        <v>210</v>
      </c>
      <c r="E238" s="213"/>
      <c r="F238" s="213"/>
      <c r="G238" s="213"/>
      <c r="H238" s="213"/>
      <c r="I238" s="122"/>
      <c r="J238" s="123"/>
      <c r="K238" s="123" t="s">
        <v>100</v>
      </c>
      <c r="L238" s="122"/>
      <c r="M238" s="123"/>
      <c r="N238" s="123" t="s">
        <v>186</v>
      </c>
      <c r="O238" s="122"/>
      <c r="P238" s="123"/>
      <c r="Q238" s="123" t="s">
        <v>208</v>
      </c>
      <c r="R238" s="123"/>
      <c r="S238" s="123"/>
      <c r="T238" s="122"/>
      <c r="U238" s="123"/>
      <c r="V238" s="122"/>
      <c r="W238" s="123"/>
      <c r="X238" s="123" t="s">
        <v>22</v>
      </c>
      <c r="Y238" s="122"/>
      <c r="Z238" s="123"/>
      <c r="AA238" s="91" t="s">
        <v>211</v>
      </c>
      <c r="AB238" s="21"/>
      <c r="AC238" s="20"/>
      <c r="AD238" s="20">
        <v>1316250000</v>
      </c>
      <c r="AE238" s="21"/>
      <c r="AF238" s="20"/>
      <c r="AG238" s="130" t="s">
        <v>209</v>
      </c>
      <c r="AH238" s="21"/>
      <c r="AI238" s="20"/>
      <c r="AJ238" s="130"/>
      <c r="AK238" s="124"/>
      <c r="AN238" s="6"/>
      <c r="AO238" s="6"/>
      <c r="AP238" s="6"/>
      <c r="AQ238" s="6"/>
      <c r="AR238" s="6"/>
      <c r="AS238" s="6"/>
      <c r="AT238" s="6"/>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row>
    <row r="239" spans="1:105" ht="12" customHeight="1" x14ac:dyDescent="0.25">
      <c r="A239" s="121"/>
      <c r="B239" s="122"/>
      <c r="C239" s="123"/>
      <c r="D239" s="213"/>
      <c r="E239" s="213"/>
      <c r="F239" s="213"/>
      <c r="G239" s="213"/>
      <c r="H239" s="213"/>
      <c r="I239" s="122"/>
      <c r="J239" s="123"/>
      <c r="K239" s="123"/>
      <c r="L239" s="122"/>
      <c r="M239" s="123"/>
      <c r="N239" s="123"/>
      <c r="O239" s="122"/>
      <c r="P239" s="123"/>
      <c r="Q239" s="123"/>
      <c r="R239" s="123"/>
      <c r="S239" s="123"/>
      <c r="T239" s="122"/>
      <c r="U239" s="123"/>
      <c r="V239" s="122"/>
      <c r="W239" s="123"/>
      <c r="X239" s="123"/>
      <c r="Y239" s="122"/>
      <c r="Z239" s="123"/>
      <c r="AA239" s="91" t="s">
        <v>191</v>
      </c>
      <c r="AB239" s="21"/>
      <c r="AC239" s="20"/>
      <c r="AD239" s="20"/>
      <c r="AE239" s="21"/>
      <c r="AF239" s="20"/>
      <c r="AG239" s="130"/>
      <c r="AH239" s="21"/>
      <c r="AI239" s="20"/>
      <c r="AJ239" s="130"/>
      <c r="AK239" s="124"/>
      <c r="AN239" s="6"/>
      <c r="AO239" s="6"/>
      <c r="AP239" s="6"/>
      <c r="AQ239" s="6"/>
      <c r="AR239" s="6"/>
      <c r="AS239" s="6"/>
      <c r="AT239" s="6"/>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c r="CX239" s="7"/>
      <c r="CY239" s="7"/>
      <c r="CZ239" s="7"/>
      <c r="DA239" s="7"/>
    </row>
    <row r="240" spans="1:105" ht="12" customHeight="1" x14ac:dyDescent="0.25">
      <c r="A240" s="121"/>
      <c r="B240" s="122"/>
      <c r="C240" s="123"/>
      <c r="D240" s="213"/>
      <c r="E240" s="213"/>
      <c r="F240" s="213"/>
      <c r="G240" s="213"/>
      <c r="H240" s="213"/>
      <c r="I240" s="122"/>
      <c r="J240" s="123"/>
      <c r="K240" s="123"/>
      <c r="L240" s="122"/>
      <c r="M240" s="123"/>
      <c r="N240" s="123"/>
      <c r="O240" s="122"/>
      <c r="P240" s="123"/>
      <c r="Q240" s="123"/>
      <c r="R240" s="123"/>
      <c r="S240" s="123"/>
      <c r="T240" s="122"/>
      <c r="U240" s="123"/>
      <c r="V240" s="122"/>
      <c r="W240" s="123"/>
      <c r="X240" s="123"/>
      <c r="Y240" s="122"/>
      <c r="Z240" s="123"/>
      <c r="AA240" s="123"/>
      <c r="AB240" s="21"/>
      <c r="AC240" s="20"/>
      <c r="AD240" s="20"/>
      <c r="AE240" s="21"/>
      <c r="AF240" s="20"/>
      <c r="AG240" s="130"/>
      <c r="AH240" s="21"/>
      <c r="AI240" s="20"/>
      <c r="AJ240" s="130"/>
      <c r="AK240" s="124"/>
      <c r="AN240" s="6"/>
      <c r="AO240" s="6"/>
      <c r="AP240" s="6"/>
      <c r="AQ240" s="6"/>
      <c r="AR240" s="6"/>
      <c r="AS240" s="6"/>
      <c r="AT240" s="6"/>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c r="CC240" s="7"/>
      <c r="CD240" s="7"/>
      <c r="CE240" s="7"/>
      <c r="CF240" s="7"/>
      <c r="CG240" s="7"/>
      <c r="CH240" s="7"/>
      <c r="CI240" s="7"/>
      <c r="CJ240" s="7"/>
      <c r="CK240" s="7"/>
      <c r="CL240" s="7"/>
      <c r="CM240" s="7"/>
      <c r="CN240" s="7"/>
      <c r="CO240" s="7"/>
      <c r="CP240" s="7"/>
      <c r="CQ240" s="7"/>
      <c r="CR240" s="7"/>
      <c r="CS240" s="7"/>
      <c r="CT240" s="7"/>
      <c r="CU240" s="7"/>
      <c r="CV240" s="7"/>
      <c r="CW240" s="7"/>
      <c r="CX240" s="7"/>
      <c r="CY240" s="7"/>
      <c r="CZ240" s="7"/>
      <c r="DA240" s="7"/>
    </row>
    <row r="241" spans="1:105" ht="12" customHeight="1" thickBot="1" x14ac:dyDescent="0.3">
      <c r="A241" s="121"/>
      <c r="B241" s="122"/>
      <c r="C241" s="123"/>
      <c r="D241" s="213"/>
      <c r="E241" s="213"/>
      <c r="F241" s="213"/>
      <c r="G241" s="213"/>
      <c r="H241" s="213"/>
      <c r="I241" s="122"/>
      <c r="J241" s="123"/>
      <c r="K241" s="123"/>
      <c r="L241" s="122"/>
      <c r="M241" s="123"/>
      <c r="N241" s="123"/>
      <c r="O241" s="122"/>
      <c r="P241" s="123"/>
      <c r="Q241" s="123"/>
      <c r="R241" s="123"/>
      <c r="S241" s="123"/>
      <c r="T241" s="122"/>
      <c r="U241" s="123"/>
      <c r="V241" s="122"/>
      <c r="W241" s="123"/>
      <c r="X241" s="123"/>
      <c r="Y241" s="122"/>
      <c r="Z241" s="123"/>
      <c r="AA241" s="123"/>
      <c r="AB241" s="21"/>
      <c r="AC241" s="20"/>
      <c r="AD241" s="20"/>
      <c r="AE241" s="21"/>
      <c r="AF241" s="20"/>
      <c r="AG241" s="130"/>
      <c r="AH241" s="21"/>
      <c r="AI241" s="20"/>
      <c r="AJ241" s="130"/>
      <c r="AK241" s="124"/>
      <c r="AN241" s="6"/>
      <c r="AO241" s="6"/>
      <c r="AP241" s="6"/>
      <c r="AQ241" s="6"/>
      <c r="AR241" s="6"/>
      <c r="AS241" s="6"/>
      <c r="AT241" s="6"/>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c r="CW241" s="7"/>
      <c r="CX241" s="7"/>
      <c r="CY241" s="7"/>
      <c r="CZ241" s="7"/>
      <c r="DA241" s="7"/>
    </row>
    <row r="242" spans="1:105" ht="12" customHeight="1" thickTop="1" x14ac:dyDescent="0.25">
      <c r="A242" s="156"/>
      <c r="B242" s="160"/>
      <c r="C242" s="157"/>
      <c r="D242" s="157"/>
      <c r="E242" s="157"/>
      <c r="F242" s="157"/>
      <c r="G242" s="157"/>
      <c r="H242" s="157"/>
      <c r="I242" s="160"/>
      <c r="J242" s="157"/>
      <c r="K242" s="157"/>
      <c r="L242" s="160"/>
      <c r="M242" s="157"/>
      <c r="N242" s="157"/>
      <c r="O242" s="160"/>
      <c r="P242" s="157"/>
      <c r="Q242" s="157"/>
      <c r="R242" s="157"/>
      <c r="S242" s="157"/>
      <c r="T242" s="160"/>
      <c r="U242" s="157"/>
      <c r="V242" s="160"/>
      <c r="W242" s="157"/>
      <c r="X242" s="157"/>
      <c r="Y242" s="160"/>
      <c r="Z242" s="157"/>
      <c r="AA242" s="157"/>
      <c r="AB242" s="158"/>
      <c r="AC242" s="159"/>
      <c r="AD242" s="159"/>
      <c r="AE242" s="158"/>
      <c r="AF242" s="159"/>
      <c r="AG242" s="200"/>
      <c r="AH242" s="158"/>
      <c r="AI242" s="159"/>
      <c r="AJ242" s="200"/>
      <c r="AK242" s="201"/>
      <c r="AN242" s="6"/>
      <c r="AO242" s="6"/>
      <c r="AP242" s="6"/>
      <c r="AQ242" s="6"/>
      <c r="AR242" s="6"/>
      <c r="AS242" s="6"/>
      <c r="AT242" s="6"/>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c r="CW242" s="7"/>
      <c r="CX242" s="7"/>
      <c r="CY242" s="7"/>
      <c r="CZ242" s="7"/>
      <c r="DA242" s="7"/>
    </row>
    <row r="243" spans="1:105" ht="12" customHeight="1" x14ac:dyDescent="0.25">
      <c r="A243" s="121">
        <v>16</v>
      </c>
      <c r="B243" s="122"/>
      <c r="C243" s="152"/>
      <c r="D243" s="227" t="s">
        <v>212</v>
      </c>
      <c r="E243" s="228"/>
      <c r="F243" s="228"/>
      <c r="G243" s="228"/>
      <c r="H243" s="228"/>
      <c r="I243" s="122"/>
      <c r="J243" s="152"/>
      <c r="K243" s="152" t="s">
        <v>127</v>
      </c>
      <c r="L243" s="122"/>
      <c r="M243" s="152"/>
      <c r="N243" s="152" t="s">
        <v>173</v>
      </c>
      <c r="O243" s="122"/>
      <c r="P243" s="152"/>
      <c r="Q243" s="152" t="s">
        <v>193</v>
      </c>
      <c r="R243" s="152"/>
      <c r="S243" s="152"/>
      <c r="T243" s="122"/>
      <c r="U243" s="152"/>
      <c r="V243" s="122"/>
      <c r="W243" s="152"/>
      <c r="X243" s="152" t="s">
        <v>173</v>
      </c>
      <c r="Y243" s="122"/>
      <c r="Z243" s="152"/>
      <c r="AA243" s="152" t="s">
        <v>213</v>
      </c>
      <c r="AB243" s="21"/>
      <c r="AC243" s="20"/>
      <c r="AD243" s="20">
        <v>825000000</v>
      </c>
      <c r="AE243" s="21"/>
      <c r="AF243" s="20"/>
      <c r="AG243" s="153" t="s">
        <v>214</v>
      </c>
      <c r="AH243" s="21"/>
      <c r="AI243" s="20"/>
      <c r="AJ243" s="202"/>
      <c r="AK243" s="124"/>
      <c r="AN243" s="6"/>
      <c r="AO243" s="6"/>
      <c r="AP243" s="6"/>
      <c r="AQ243" s="6"/>
      <c r="AR243" s="6"/>
      <c r="AS243" s="6"/>
      <c r="AT243" s="6"/>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c r="CW243" s="7"/>
      <c r="CX243" s="7"/>
      <c r="CY243" s="7"/>
      <c r="CZ243" s="7"/>
      <c r="DA243" s="7"/>
    </row>
    <row r="244" spans="1:105" ht="12" customHeight="1" x14ac:dyDescent="0.25">
      <c r="A244" s="121"/>
      <c r="B244" s="122"/>
      <c r="C244" s="152"/>
      <c r="D244" s="228"/>
      <c r="E244" s="228"/>
      <c r="F244" s="228"/>
      <c r="G244" s="228"/>
      <c r="H244" s="228"/>
      <c r="I244" s="122"/>
      <c r="J244" s="152"/>
      <c r="K244" s="152"/>
      <c r="L244" s="122"/>
      <c r="M244" s="152"/>
      <c r="N244" s="152"/>
      <c r="O244" s="122"/>
      <c r="P244" s="152"/>
      <c r="Q244" s="152"/>
      <c r="R244" s="152"/>
      <c r="S244" s="152"/>
      <c r="T244" s="122"/>
      <c r="U244" s="152"/>
      <c r="V244" s="122"/>
      <c r="W244" s="152"/>
      <c r="X244" s="152"/>
      <c r="Y244" s="122"/>
      <c r="Z244" s="152"/>
      <c r="AA244" s="153" t="s">
        <v>215</v>
      </c>
      <c r="AB244" s="21"/>
      <c r="AC244" s="20"/>
      <c r="AD244" s="20"/>
      <c r="AE244" s="21"/>
      <c r="AF244" s="20"/>
      <c r="AG244" s="202"/>
      <c r="AH244" s="21"/>
      <c r="AI244" s="20"/>
      <c r="AJ244" s="202"/>
      <c r="AK244" s="124"/>
      <c r="AN244" s="6"/>
      <c r="AO244" s="6"/>
      <c r="AP244" s="6"/>
      <c r="AQ244" s="6"/>
      <c r="AR244" s="6"/>
      <c r="AS244" s="6"/>
      <c r="AT244" s="6"/>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s="7"/>
      <c r="CW244" s="7"/>
      <c r="CX244" s="7"/>
      <c r="CY244" s="7"/>
      <c r="CZ244" s="7"/>
      <c r="DA244" s="7"/>
    </row>
    <row r="245" spans="1:105" ht="12" customHeight="1" x14ac:dyDescent="0.25">
      <c r="A245" s="121"/>
      <c r="B245" s="122"/>
      <c r="C245" s="152"/>
      <c r="D245" s="152"/>
      <c r="E245" s="152"/>
      <c r="F245" s="152"/>
      <c r="G245" s="152"/>
      <c r="H245" s="152"/>
      <c r="I245" s="122"/>
      <c r="J245" s="152"/>
      <c r="K245" s="152"/>
      <c r="L245" s="122"/>
      <c r="M245" s="152"/>
      <c r="N245" s="152"/>
      <c r="O245" s="122"/>
      <c r="P245" s="152"/>
      <c r="Q245" s="152"/>
      <c r="R245" s="152"/>
      <c r="S245" s="152"/>
      <c r="T245" s="122"/>
      <c r="U245" s="152"/>
      <c r="V245" s="122"/>
      <c r="W245" s="152"/>
      <c r="X245" s="152"/>
      <c r="Y245" s="122"/>
      <c r="Z245" s="152"/>
      <c r="AA245" s="152"/>
      <c r="AB245" s="21"/>
      <c r="AC245" s="20"/>
      <c r="AD245" s="20"/>
      <c r="AE245" s="21"/>
      <c r="AF245" s="20"/>
      <c r="AG245" s="202"/>
      <c r="AH245" s="21"/>
      <c r="AI245" s="20"/>
      <c r="AJ245" s="202"/>
      <c r="AK245" s="124"/>
      <c r="AN245" s="6"/>
      <c r="AO245" s="6"/>
      <c r="AP245" s="6"/>
      <c r="AQ245" s="6"/>
      <c r="AR245" s="6"/>
      <c r="AS245" s="6"/>
      <c r="AT245" s="6"/>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c r="CX245" s="7"/>
      <c r="CY245" s="7"/>
      <c r="CZ245" s="7"/>
      <c r="DA245" s="7"/>
    </row>
    <row r="246" spans="1:105" ht="12" customHeight="1" x14ac:dyDescent="0.25">
      <c r="A246" s="121">
        <v>17</v>
      </c>
      <c r="B246" s="122"/>
      <c r="C246" s="152"/>
      <c r="D246" s="227" t="s">
        <v>216</v>
      </c>
      <c r="E246" s="227"/>
      <c r="F246" s="227"/>
      <c r="G246" s="227"/>
      <c r="H246" s="227"/>
      <c r="I246" s="122"/>
      <c r="J246" s="152"/>
      <c r="K246" s="152" t="s">
        <v>217</v>
      </c>
      <c r="L246" s="122"/>
      <c r="M246" s="152"/>
      <c r="N246" s="152" t="s">
        <v>173</v>
      </c>
      <c r="O246" s="122"/>
      <c r="P246" s="152"/>
      <c r="Q246" s="229" t="s">
        <v>218</v>
      </c>
      <c r="R246" s="229"/>
      <c r="S246" s="229"/>
      <c r="T246" s="122"/>
      <c r="U246" s="152"/>
      <c r="V246" s="122"/>
      <c r="W246" s="152"/>
      <c r="X246" s="152" t="s">
        <v>173</v>
      </c>
      <c r="Y246" s="122"/>
      <c r="Z246" s="152"/>
      <c r="AA246" s="152" t="s">
        <v>219</v>
      </c>
      <c r="AB246" s="21"/>
      <c r="AC246" s="20"/>
      <c r="AD246" s="20">
        <v>999000000</v>
      </c>
      <c r="AE246" s="21"/>
      <c r="AF246" s="20"/>
      <c r="AG246" s="153" t="s">
        <v>220</v>
      </c>
      <c r="AH246" s="21"/>
      <c r="AI246" s="20"/>
      <c r="AJ246" s="202"/>
      <c r="AK246" s="124"/>
      <c r="AN246" s="6"/>
      <c r="AO246" s="6"/>
      <c r="AP246" s="6"/>
      <c r="AQ246" s="6"/>
      <c r="AR246" s="6"/>
      <c r="AS246" s="6"/>
      <c r="AT246" s="6"/>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c r="CW246" s="7"/>
      <c r="CX246" s="7"/>
      <c r="CY246" s="7"/>
      <c r="CZ246" s="7"/>
      <c r="DA246" s="7"/>
    </row>
    <row r="247" spans="1:105" ht="12" customHeight="1" x14ac:dyDescent="0.25">
      <c r="A247" s="121"/>
      <c r="B247" s="122"/>
      <c r="C247" s="152"/>
      <c r="D247" s="227"/>
      <c r="E247" s="227"/>
      <c r="F247" s="227"/>
      <c r="G247" s="227"/>
      <c r="H247" s="227"/>
      <c r="I247" s="122"/>
      <c r="J247" s="152"/>
      <c r="K247" s="152"/>
      <c r="L247" s="122"/>
      <c r="M247" s="152"/>
      <c r="N247" s="152"/>
      <c r="O247" s="122"/>
      <c r="P247" s="152"/>
      <c r="Q247" s="229"/>
      <c r="R247" s="229"/>
      <c r="S247" s="229"/>
      <c r="T247" s="122"/>
      <c r="U247" s="152"/>
      <c r="V247" s="122"/>
      <c r="W247" s="152"/>
      <c r="X247" s="152"/>
      <c r="Y247" s="122"/>
      <c r="Z247" s="152"/>
      <c r="AA247" s="153" t="s">
        <v>221</v>
      </c>
      <c r="AB247" s="21"/>
      <c r="AC247" s="20"/>
      <c r="AD247" s="20"/>
      <c r="AE247" s="21"/>
      <c r="AF247" s="20"/>
      <c r="AG247" s="202"/>
      <c r="AH247" s="21"/>
      <c r="AI247" s="20"/>
      <c r="AJ247" s="202"/>
      <c r="AK247" s="124"/>
      <c r="AN247" s="6"/>
      <c r="AO247" s="6"/>
      <c r="AP247" s="6"/>
      <c r="AQ247" s="6"/>
      <c r="AR247" s="6"/>
      <c r="AS247" s="6"/>
      <c r="AT247" s="6"/>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c r="CW247" s="7"/>
      <c r="CX247" s="7"/>
      <c r="CY247" s="7"/>
      <c r="CZ247" s="7"/>
      <c r="DA247" s="7"/>
    </row>
    <row r="248" spans="1:105" ht="12" customHeight="1" x14ac:dyDescent="0.25">
      <c r="A248" s="121"/>
      <c r="B248" s="122"/>
      <c r="C248" s="152"/>
      <c r="D248" s="227"/>
      <c r="E248" s="227"/>
      <c r="F248" s="227"/>
      <c r="G248" s="227"/>
      <c r="H248" s="227"/>
      <c r="I248" s="122"/>
      <c r="J248" s="152"/>
      <c r="K248" s="152"/>
      <c r="L248" s="122"/>
      <c r="M248" s="152"/>
      <c r="N248" s="152"/>
      <c r="O248" s="122"/>
      <c r="P248" s="152"/>
      <c r="Q248" s="152"/>
      <c r="R248" s="152"/>
      <c r="S248" s="152"/>
      <c r="T248" s="122"/>
      <c r="U248" s="152"/>
      <c r="V248" s="122"/>
      <c r="W248" s="152"/>
      <c r="X248" s="152"/>
      <c r="Y248" s="122"/>
      <c r="Z248" s="152"/>
      <c r="AA248" s="152"/>
      <c r="AB248" s="21"/>
      <c r="AC248" s="20"/>
      <c r="AD248" s="20"/>
      <c r="AE248" s="21"/>
      <c r="AF248" s="20"/>
      <c r="AG248" s="202"/>
      <c r="AH248" s="21"/>
      <c r="AI248" s="20"/>
      <c r="AJ248" s="202"/>
      <c r="AK248" s="124"/>
      <c r="AN248" s="6"/>
      <c r="AO248" s="6"/>
      <c r="AP248" s="6"/>
      <c r="AQ248" s="6"/>
      <c r="AR248" s="6"/>
      <c r="AS248" s="6"/>
      <c r="AT248" s="6"/>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7"/>
      <c r="CY248" s="7"/>
      <c r="CZ248" s="7"/>
      <c r="DA248" s="7"/>
    </row>
    <row r="249" spans="1:105" ht="12" customHeight="1" x14ac:dyDescent="0.25">
      <c r="A249" s="121"/>
      <c r="B249" s="122"/>
      <c r="C249" s="152"/>
      <c r="D249" s="152"/>
      <c r="E249" s="152"/>
      <c r="F249" s="152"/>
      <c r="G249" s="152"/>
      <c r="H249" s="152"/>
      <c r="I249" s="122"/>
      <c r="J249" s="152"/>
      <c r="K249" s="152"/>
      <c r="L249" s="122"/>
      <c r="M249" s="152"/>
      <c r="N249" s="152"/>
      <c r="O249" s="122"/>
      <c r="P249" s="152"/>
      <c r="Q249" s="152"/>
      <c r="R249" s="152"/>
      <c r="S249" s="152"/>
      <c r="T249" s="122"/>
      <c r="U249" s="152"/>
      <c r="V249" s="122"/>
      <c r="W249" s="152"/>
      <c r="X249" s="152"/>
      <c r="Y249" s="122"/>
      <c r="Z249" s="152"/>
      <c r="AA249" s="152"/>
      <c r="AB249" s="21"/>
      <c r="AC249" s="20"/>
      <c r="AD249" s="20"/>
      <c r="AE249" s="21"/>
      <c r="AF249" s="20"/>
      <c r="AG249" s="202"/>
      <c r="AH249" s="21"/>
      <c r="AI249" s="20"/>
      <c r="AJ249" s="202"/>
      <c r="AK249" s="124"/>
      <c r="AO249" s="6"/>
      <c r="AP249" s="6"/>
      <c r="AQ249" s="6"/>
      <c r="AR249" s="6"/>
      <c r="AS249" s="6"/>
      <c r="AT249" s="6"/>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c r="CW249" s="7"/>
      <c r="CX249" s="7"/>
      <c r="CY249" s="7"/>
      <c r="CZ249" s="7"/>
      <c r="DA249" s="7"/>
    </row>
    <row r="250" spans="1:105" ht="12" customHeight="1" x14ac:dyDescent="0.25">
      <c r="A250" s="129"/>
      <c r="B250" s="126"/>
      <c r="C250" s="8"/>
      <c r="D250" s="8"/>
      <c r="E250" s="8"/>
      <c r="F250" s="8"/>
      <c r="G250" s="8"/>
      <c r="H250" s="8"/>
      <c r="I250" s="126"/>
      <c r="J250" s="203"/>
      <c r="K250" s="204"/>
      <c r="L250" s="205"/>
      <c r="M250" s="203"/>
      <c r="N250" s="204"/>
      <c r="O250" s="205"/>
      <c r="P250" s="203"/>
      <c r="Q250" s="203"/>
      <c r="R250" s="203"/>
      <c r="S250" s="203"/>
      <c r="T250" s="205"/>
      <c r="U250" s="203"/>
      <c r="V250" s="205"/>
      <c r="W250" s="203"/>
      <c r="X250" s="204"/>
      <c r="Y250" s="205"/>
      <c r="Z250" s="8"/>
      <c r="AA250" s="8"/>
      <c r="AB250" s="126"/>
      <c r="AC250" s="8"/>
      <c r="AD250" s="8"/>
      <c r="AE250" s="126"/>
      <c r="AF250" s="8"/>
      <c r="AG250" s="204"/>
      <c r="AH250" s="206"/>
      <c r="AI250" s="204"/>
      <c r="AJ250" s="204"/>
      <c r="AK250" s="207"/>
      <c r="AL250" s="6"/>
      <c r="AM250" s="6"/>
      <c r="AN250" s="6"/>
      <c r="AO250" s="6"/>
      <c r="AP250" s="6"/>
      <c r="AQ250" s="6"/>
      <c r="AR250" s="6"/>
      <c r="AS250" s="6"/>
      <c r="AT250" s="6"/>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s="7"/>
      <c r="CW250" s="7"/>
      <c r="CX250" s="7"/>
      <c r="CY250" s="7"/>
      <c r="CZ250" s="7"/>
      <c r="DA250" s="7"/>
    </row>
    <row r="251" spans="1:105" ht="12" customHeight="1" x14ac:dyDescent="0.3">
      <c r="A251" s="102" t="s">
        <v>247</v>
      </c>
      <c r="B251" s="103"/>
      <c r="C251" s="104"/>
      <c r="D251" s="104" t="s">
        <v>222</v>
      </c>
      <c r="E251" s="104"/>
      <c r="F251" s="104"/>
      <c r="G251" s="105"/>
      <c r="H251" s="105"/>
      <c r="I251" s="6"/>
      <c r="J251" s="6"/>
      <c r="K251" s="5"/>
      <c r="L251" s="6"/>
      <c r="M251" s="6"/>
      <c r="N251" s="5"/>
      <c r="O251" s="6"/>
      <c r="P251" s="6"/>
      <c r="Q251" s="6"/>
      <c r="R251" s="6"/>
      <c r="S251" s="6"/>
      <c r="T251" s="6"/>
      <c r="U251" s="6"/>
      <c r="V251" s="6"/>
      <c r="W251" s="6"/>
      <c r="X251" s="6"/>
      <c r="Y251" s="6"/>
      <c r="Z251" s="6"/>
      <c r="AA251" s="6"/>
      <c r="AB251" s="6"/>
      <c r="AC251" s="6"/>
      <c r="AD251" s="6"/>
      <c r="AE251" s="6"/>
      <c r="AF251" s="6"/>
      <c r="AG251" s="5"/>
      <c r="AH251" s="5"/>
      <c r="AI251" s="5"/>
      <c r="AJ251" s="5"/>
      <c r="AK251" s="5"/>
      <c r="AL251" s="6"/>
      <c r="AM251" s="6"/>
      <c r="AN251" s="6"/>
      <c r="AO251" s="6"/>
      <c r="AP251" s="6"/>
      <c r="AQ251" s="6"/>
      <c r="AR251" s="6"/>
      <c r="AS251" s="6"/>
      <c r="AT251" s="6"/>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c r="CX251" s="7"/>
      <c r="CY251" s="7"/>
      <c r="CZ251" s="7"/>
      <c r="DA251" s="7"/>
    </row>
    <row r="252" spans="1:105" ht="12" customHeight="1" x14ac:dyDescent="0.25">
      <c r="A252" s="137">
        <v>1</v>
      </c>
      <c r="B252" s="138"/>
      <c r="C252" s="139"/>
      <c r="D252" s="209" t="s">
        <v>303</v>
      </c>
      <c r="E252" s="213"/>
      <c r="F252" s="213"/>
      <c r="G252" s="213"/>
      <c r="H252" s="213"/>
      <c r="I252" s="138"/>
      <c r="J252" s="139"/>
      <c r="K252" s="127" t="s">
        <v>267</v>
      </c>
      <c r="L252" s="138"/>
      <c r="M252" s="139"/>
      <c r="N252" s="171" t="s">
        <v>26</v>
      </c>
      <c r="O252" s="138"/>
      <c r="P252" s="139"/>
      <c r="Q252" s="219" t="s">
        <v>304</v>
      </c>
      <c r="R252" s="219"/>
      <c r="S252" s="219"/>
      <c r="T252" s="140"/>
      <c r="U252" s="140"/>
      <c r="V252" s="138"/>
      <c r="W252" s="139"/>
      <c r="X252" s="169" t="s">
        <v>22</v>
      </c>
      <c r="Y252" s="138"/>
      <c r="Z252" s="139"/>
      <c r="AA252" s="128" t="s">
        <v>305</v>
      </c>
      <c r="AB252" s="138"/>
      <c r="AC252" s="139"/>
      <c r="AD252" s="20">
        <v>1877336074</v>
      </c>
      <c r="AE252" s="138"/>
      <c r="AF252" s="139"/>
      <c r="AG252" s="172" t="s">
        <v>307</v>
      </c>
      <c r="AH252" s="138"/>
      <c r="AI252" s="139"/>
      <c r="AJ252" s="140"/>
      <c r="AK252" s="141"/>
      <c r="AL252" s="6"/>
      <c r="AM252" s="6"/>
      <c r="AN252" s="6"/>
      <c r="AO252" s="6"/>
      <c r="AP252" s="6"/>
      <c r="AQ252" s="6"/>
      <c r="AR252" s="6"/>
      <c r="AS252" s="6"/>
      <c r="AT252" s="6"/>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c r="CC252" s="7"/>
      <c r="CD252" s="7"/>
      <c r="CE252" s="7"/>
      <c r="CF252" s="7"/>
      <c r="CG252" s="7"/>
      <c r="CH252" s="7"/>
      <c r="CI252" s="7"/>
      <c r="CJ252" s="7"/>
      <c r="CK252" s="7"/>
      <c r="CL252" s="7"/>
      <c r="CM252" s="7"/>
      <c r="CN252" s="7"/>
      <c r="CO252" s="7"/>
      <c r="CP252" s="7"/>
      <c r="CQ252" s="7"/>
      <c r="CR252" s="7"/>
      <c r="CS252" s="7"/>
      <c r="CT252" s="7"/>
      <c r="CU252" s="7"/>
      <c r="CV252" s="7"/>
      <c r="CW252" s="7"/>
      <c r="CX252" s="7"/>
      <c r="CY252" s="7"/>
      <c r="CZ252" s="7"/>
      <c r="DA252" s="7"/>
    </row>
    <row r="253" spans="1:105" ht="12" customHeight="1" x14ac:dyDescent="0.25">
      <c r="A253" s="142"/>
      <c r="B253" s="138"/>
      <c r="C253" s="139"/>
      <c r="D253" s="213"/>
      <c r="E253" s="213"/>
      <c r="F253" s="213"/>
      <c r="G253" s="213"/>
      <c r="H253" s="213"/>
      <c r="I253" s="138"/>
      <c r="J253" s="139"/>
      <c r="K253" s="127"/>
      <c r="L253" s="138"/>
      <c r="M253" s="139"/>
      <c r="N253" s="170"/>
      <c r="O253" s="138"/>
      <c r="P253" s="139"/>
      <c r="Q253" s="219"/>
      <c r="R253" s="219"/>
      <c r="S253" s="219"/>
      <c r="T253" s="140"/>
      <c r="U253" s="140"/>
      <c r="V253" s="138"/>
      <c r="W253" s="139"/>
      <c r="X253" s="140"/>
      <c r="Y253" s="138"/>
      <c r="Z253" s="139"/>
      <c r="AA253" s="128" t="s">
        <v>306</v>
      </c>
      <c r="AB253" s="138"/>
      <c r="AC253" s="139"/>
      <c r="AD253" s="20"/>
      <c r="AE253" s="138"/>
      <c r="AF253" s="139"/>
      <c r="AG253" s="140"/>
      <c r="AH253" s="138"/>
      <c r="AI253" s="139"/>
      <c r="AJ253" s="140"/>
      <c r="AK253" s="141"/>
      <c r="AL253" s="6"/>
      <c r="AM253" s="6"/>
      <c r="AN253" s="6"/>
      <c r="AO253" s="6"/>
      <c r="AP253" s="6"/>
      <c r="AQ253" s="6"/>
      <c r="AR253" s="6"/>
      <c r="AS253" s="6"/>
      <c r="AT253" s="6"/>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c r="CW253" s="7"/>
      <c r="CX253" s="7"/>
      <c r="CY253" s="7"/>
      <c r="CZ253" s="7"/>
      <c r="DA253" s="7"/>
    </row>
    <row r="254" spans="1:105" ht="12" customHeight="1" x14ac:dyDescent="0.25">
      <c r="A254" s="142"/>
      <c r="B254" s="138"/>
      <c r="C254" s="139"/>
      <c r="D254" s="140"/>
      <c r="E254" s="140"/>
      <c r="F254" s="140"/>
      <c r="G254" s="140"/>
      <c r="H254" s="140"/>
      <c r="I254" s="138"/>
      <c r="J254" s="139"/>
      <c r="K254" s="140"/>
      <c r="L254" s="138"/>
      <c r="M254" s="139"/>
      <c r="N254" s="170"/>
      <c r="O254" s="138"/>
      <c r="P254" s="139"/>
      <c r="Q254" s="219"/>
      <c r="R254" s="219"/>
      <c r="S254" s="219"/>
      <c r="T254" s="140"/>
      <c r="U254" s="140"/>
      <c r="V254" s="138"/>
      <c r="W254" s="139"/>
      <c r="X254" s="140"/>
      <c r="Y254" s="138"/>
      <c r="Z254" s="139"/>
      <c r="AA254" s="140"/>
      <c r="AB254" s="138"/>
      <c r="AC254" s="139"/>
      <c r="AD254" s="140"/>
      <c r="AE254" s="138"/>
      <c r="AF254" s="139"/>
      <c r="AG254" s="140"/>
      <c r="AH254" s="138"/>
      <c r="AI254" s="139"/>
      <c r="AJ254" s="140"/>
      <c r="AK254" s="141"/>
      <c r="AL254" s="6"/>
      <c r="AM254" s="6"/>
      <c r="AN254" s="6"/>
      <c r="AO254" s="6"/>
      <c r="AP254" s="6"/>
      <c r="AQ254" s="6"/>
      <c r="AR254" s="6"/>
      <c r="AS254" s="6"/>
      <c r="AT254" s="6"/>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c r="CC254" s="7"/>
      <c r="CD254" s="7"/>
      <c r="CE254" s="7"/>
      <c r="CF254" s="7"/>
      <c r="CG254" s="7"/>
      <c r="CH254" s="7"/>
      <c r="CI254" s="7"/>
      <c r="CJ254" s="7"/>
      <c r="CK254" s="7"/>
      <c r="CL254" s="7"/>
      <c r="CM254" s="7"/>
      <c r="CN254" s="7"/>
      <c r="CO254" s="7"/>
      <c r="CP254" s="7"/>
      <c r="CQ254" s="7"/>
      <c r="CR254" s="7"/>
      <c r="CS254" s="7"/>
      <c r="CT254" s="7"/>
      <c r="CU254" s="7"/>
      <c r="CV254" s="7"/>
      <c r="CW254" s="7"/>
      <c r="CX254" s="7"/>
      <c r="CY254" s="7"/>
      <c r="CZ254" s="7"/>
      <c r="DA254" s="7"/>
    </row>
    <row r="255" spans="1:105" ht="12" customHeight="1" x14ac:dyDescent="0.25">
      <c r="A255" s="142"/>
      <c r="B255" s="138"/>
      <c r="C255" s="139"/>
      <c r="D255" s="140"/>
      <c r="E255" s="140"/>
      <c r="F255" s="140"/>
      <c r="G255" s="140"/>
      <c r="H255" s="140"/>
      <c r="I255" s="155"/>
      <c r="J255" s="139"/>
      <c r="K255" s="140"/>
      <c r="L255" s="155"/>
      <c r="M255" s="139"/>
      <c r="N255" s="170"/>
      <c r="O255" s="155"/>
      <c r="P255" s="139"/>
      <c r="Q255" s="219"/>
      <c r="R255" s="219"/>
      <c r="S255" s="219"/>
      <c r="T255" s="140"/>
      <c r="U255" s="140"/>
      <c r="V255" s="155"/>
      <c r="W255" s="139"/>
      <c r="X255" s="140"/>
      <c r="Y255" s="155"/>
      <c r="Z255" s="139"/>
      <c r="AA255" s="140"/>
      <c r="AB255" s="155"/>
      <c r="AC255" s="139"/>
      <c r="AD255" s="140"/>
      <c r="AE255" s="155"/>
      <c r="AF255" s="139"/>
      <c r="AG255" s="140"/>
      <c r="AH255" s="155"/>
      <c r="AI255" s="139"/>
      <c r="AJ255" s="140"/>
      <c r="AK255" s="141"/>
      <c r="AL255" s="6"/>
      <c r="AM255" s="6"/>
      <c r="AN255" s="6"/>
      <c r="AO255" s="6"/>
      <c r="AP255" s="6"/>
      <c r="AQ255" s="6"/>
      <c r="AR255" s="6"/>
      <c r="AS255" s="6"/>
      <c r="AT255" s="6"/>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c r="CX255" s="7"/>
      <c r="CY255" s="7"/>
      <c r="CZ255" s="7"/>
      <c r="DA255" s="7"/>
    </row>
    <row r="256" spans="1:105" ht="12" customHeight="1" x14ac:dyDescent="0.25">
      <c r="A256" s="142"/>
      <c r="B256" s="138"/>
      <c r="C256" s="139"/>
      <c r="D256" s="140"/>
      <c r="E256" s="140"/>
      <c r="F256" s="140"/>
      <c r="G256" s="140"/>
      <c r="H256" s="140"/>
      <c r="I256" s="155"/>
      <c r="J256" s="139"/>
      <c r="K256" s="140"/>
      <c r="L256" s="155"/>
      <c r="M256" s="139"/>
      <c r="N256" s="170"/>
      <c r="O256" s="155"/>
      <c r="P256" s="139"/>
      <c r="Q256" s="140"/>
      <c r="R256" s="140"/>
      <c r="S256" s="140"/>
      <c r="T256" s="140"/>
      <c r="U256" s="140"/>
      <c r="V256" s="155"/>
      <c r="W256" s="139"/>
      <c r="X256" s="140"/>
      <c r="Y256" s="155"/>
      <c r="Z256" s="139"/>
      <c r="AA256" s="140"/>
      <c r="AB256" s="155"/>
      <c r="AC256" s="139"/>
      <c r="AD256" s="140"/>
      <c r="AE256" s="155"/>
      <c r="AF256" s="139"/>
      <c r="AG256" s="140"/>
      <c r="AH256" s="155"/>
      <c r="AI256" s="139"/>
      <c r="AJ256" s="140"/>
      <c r="AK256" s="141"/>
      <c r="AL256" s="6"/>
      <c r="AM256" s="6"/>
      <c r="AN256" s="6"/>
      <c r="AO256" s="6"/>
      <c r="AP256" s="6"/>
      <c r="AQ256" s="6"/>
      <c r="AR256" s="6"/>
      <c r="AS256" s="6"/>
      <c r="AT256" s="6"/>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c r="CW256" s="7"/>
      <c r="CX256" s="7"/>
      <c r="CY256" s="7"/>
      <c r="CZ256" s="7"/>
      <c r="DA256" s="7"/>
    </row>
    <row r="257" spans="1:105" ht="12" customHeight="1" x14ac:dyDescent="0.3">
      <c r="A257" s="102" t="s">
        <v>248</v>
      </c>
      <c r="B257" s="103"/>
      <c r="C257" s="104"/>
      <c r="D257" s="104" t="s">
        <v>299</v>
      </c>
      <c r="E257" s="104"/>
      <c r="F257" s="104"/>
      <c r="G257" s="105"/>
      <c r="H257" s="105"/>
      <c r="I257" s="6"/>
      <c r="J257" s="6"/>
      <c r="K257" s="5"/>
      <c r="L257" s="6"/>
      <c r="M257" s="6"/>
      <c r="N257" s="5"/>
      <c r="O257" s="6"/>
      <c r="P257" s="6"/>
      <c r="Q257" s="6"/>
      <c r="R257" s="6"/>
      <c r="S257" s="6"/>
      <c r="T257" s="6"/>
      <c r="U257" s="6"/>
      <c r="V257" s="6"/>
      <c r="W257" s="6"/>
      <c r="X257" s="6"/>
      <c r="Y257" s="6"/>
      <c r="Z257" s="6"/>
      <c r="AA257" s="6"/>
      <c r="AB257" s="6"/>
      <c r="AC257" s="6"/>
      <c r="AD257" s="6"/>
      <c r="AE257" s="6"/>
      <c r="AF257" s="6"/>
      <c r="AG257" s="5"/>
      <c r="AH257" s="5"/>
      <c r="AI257" s="5"/>
      <c r="AJ257" s="5"/>
      <c r="AK257" s="141"/>
      <c r="AL257" s="6"/>
      <c r="AM257" s="6"/>
      <c r="AN257" s="6"/>
      <c r="AO257" s="6"/>
      <c r="AP257" s="6"/>
      <c r="AQ257" s="6"/>
      <c r="AR257" s="6"/>
      <c r="AS257" s="6"/>
      <c r="AT257" s="6"/>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c r="CW257" s="7"/>
      <c r="CX257" s="7"/>
      <c r="CY257" s="7"/>
      <c r="CZ257" s="7"/>
      <c r="DA257" s="7"/>
    </row>
    <row r="258" spans="1:105" ht="12" customHeight="1" x14ac:dyDescent="0.25">
      <c r="A258" s="137">
        <v>1</v>
      </c>
      <c r="B258" s="138"/>
      <c r="C258" s="139"/>
      <c r="D258" s="213" t="s">
        <v>249</v>
      </c>
      <c r="E258" s="213"/>
      <c r="F258" s="213"/>
      <c r="G258" s="213"/>
      <c r="H258" s="213"/>
      <c r="I258" s="138"/>
      <c r="J258" s="139"/>
      <c r="K258" s="127" t="s">
        <v>156</v>
      </c>
      <c r="L258" s="138"/>
      <c r="M258" s="139"/>
      <c r="N258" s="171" t="s">
        <v>250</v>
      </c>
      <c r="O258" s="138"/>
      <c r="P258" s="139"/>
      <c r="Q258" s="214" t="s">
        <v>251</v>
      </c>
      <c r="R258" s="214"/>
      <c r="S258" s="214"/>
      <c r="T258" s="140"/>
      <c r="U258" s="140"/>
      <c r="V258" s="138"/>
      <c r="W258" s="139"/>
      <c r="X258" s="169" t="s">
        <v>22</v>
      </c>
      <c r="Y258" s="138"/>
      <c r="Z258" s="139"/>
      <c r="AA258" s="171" t="s">
        <v>252</v>
      </c>
      <c r="AB258" s="138"/>
      <c r="AC258" s="139"/>
      <c r="AD258" s="20">
        <v>10500000000</v>
      </c>
      <c r="AE258" s="138"/>
      <c r="AF258" s="139"/>
      <c r="AG258" s="172" t="s">
        <v>254</v>
      </c>
      <c r="AH258" s="138"/>
      <c r="AI258" s="139"/>
      <c r="AJ258" s="140"/>
      <c r="AK258" s="141"/>
      <c r="AL258" s="6"/>
      <c r="AM258" s="6"/>
      <c r="AN258" s="6"/>
      <c r="AO258" s="6"/>
      <c r="AP258" s="6"/>
      <c r="AQ258" s="6"/>
      <c r="AR258" s="6"/>
      <c r="AS258" s="6"/>
      <c r="AT258" s="6"/>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7"/>
      <c r="CY258" s="7"/>
      <c r="CZ258" s="7"/>
      <c r="DA258" s="7"/>
    </row>
    <row r="259" spans="1:105" ht="12" customHeight="1" x14ac:dyDescent="0.25">
      <c r="A259" s="137"/>
      <c r="B259" s="138"/>
      <c r="C259" s="139"/>
      <c r="D259" s="213"/>
      <c r="E259" s="213"/>
      <c r="F259" s="213"/>
      <c r="G259" s="213"/>
      <c r="H259" s="213"/>
      <c r="I259" s="138"/>
      <c r="J259" s="139"/>
      <c r="K259" s="140"/>
      <c r="L259" s="138"/>
      <c r="M259" s="139"/>
      <c r="N259" s="140"/>
      <c r="O259" s="138"/>
      <c r="P259" s="139"/>
      <c r="Q259" s="214"/>
      <c r="R259" s="214"/>
      <c r="S259" s="214"/>
      <c r="T259" s="140"/>
      <c r="U259" s="140"/>
      <c r="V259" s="138"/>
      <c r="W259" s="139"/>
      <c r="X259" s="140"/>
      <c r="Y259" s="138"/>
      <c r="Z259" s="139"/>
      <c r="AA259" s="173" t="s">
        <v>253</v>
      </c>
      <c r="AB259" s="138"/>
      <c r="AC259" s="139"/>
      <c r="AD259" s="140"/>
      <c r="AE259" s="138"/>
      <c r="AF259" s="139"/>
      <c r="AG259" s="140"/>
      <c r="AH259" s="138"/>
      <c r="AI259" s="139"/>
      <c r="AJ259" s="140"/>
      <c r="AK259" s="141"/>
      <c r="AL259" s="6"/>
      <c r="AM259" s="6"/>
      <c r="AN259" s="6"/>
      <c r="AO259" s="6"/>
      <c r="AP259" s="6"/>
      <c r="AQ259" s="6"/>
      <c r="AR259" s="6"/>
      <c r="AS259" s="6"/>
      <c r="AT259" s="6"/>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c r="CX259" s="7"/>
      <c r="CY259" s="7"/>
      <c r="CZ259" s="7"/>
      <c r="DA259" s="7"/>
    </row>
    <row r="260" spans="1:105" ht="12" customHeight="1" x14ac:dyDescent="0.25">
      <c r="A260" s="137"/>
      <c r="B260" s="138"/>
      <c r="C260" s="139"/>
      <c r="D260" s="213"/>
      <c r="E260" s="213"/>
      <c r="F260" s="213"/>
      <c r="G260" s="213"/>
      <c r="H260" s="213"/>
      <c r="I260" s="138"/>
      <c r="J260" s="139"/>
      <c r="K260" s="140"/>
      <c r="L260" s="138"/>
      <c r="M260" s="139"/>
      <c r="N260" s="140"/>
      <c r="O260" s="138"/>
      <c r="P260" s="139"/>
      <c r="Q260" s="140"/>
      <c r="R260" s="140"/>
      <c r="S260" s="140"/>
      <c r="T260" s="140"/>
      <c r="U260" s="140"/>
      <c r="V260" s="138"/>
      <c r="W260" s="139"/>
      <c r="X260" s="140"/>
      <c r="Y260" s="138"/>
      <c r="Z260" s="139"/>
      <c r="AA260" s="140"/>
      <c r="AB260" s="138"/>
      <c r="AC260" s="139"/>
      <c r="AD260" s="140"/>
      <c r="AE260" s="138"/>
      <c r="AF260" s="139"/>
      <c r="AG260" s="140"/>
      <c r="AH260" s="138"/>
      <c r="AI260" s="139"/>
      <c r="AJ260" s="140"/>
      <c r="AK260" s="141"/>
      <c r="AL260" s="6"/>
      <c r="AM260" s="6"/>
      <c r="AN260" s="6"/>
      <c r="AO260" s="6"/>
      <c r="AP260" s="6"/>
      <c r="AQ260" s="6"/>
      <c r="AR260" s="6"/>
      <c r="AS260" s="6"/>
      <c r="AT260" s="6"/>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c r="CC260" s="7"/>
      <c r="CD260" s="7"/>
      <c r="CE260" s="7"/>
      <c r="CF260" s="7"/>
      <c r="CG260" s="7"/>
      <c r="CH260" s="7"/>
      <c r="CI260" s="7"/>
      <c r="CJ260" s="7"/>
      <c r="CK260" s="7"/>
      <c r="CL260" s="7"/>
      <c r="CM260" s="7"/>
      <c r="CN260" s="7"/>
      <c r="CO260" s="7"/>
      <c r="CP260" s="7"/>
      <c r="CQ260" s="7"/>
      <c r="CR260" s="7"/>
      <c r="CS260" s="7"/>
      <c r="CT260" s="7"/>
      <c r="CU260" s="7"/>
      <c r="CV260" s="7"/>
      <c r="CW260" s="7"/>
      <c r="CX260" s="7"/>
      <c r="CY260" s="7"/>
      <c r="CZ260" s="7"/>
      <c r="DA260" s="7"/>
    </row>
    <row r="261" spans="1:105" ht="12" customHeight="1" x14ac:dyDescent="0.25">
      <c r="A261" s="137"/>
      <c r="B261" s="138"/>
      <c r="C261" s="139"/>
      <c r="D261" s="140"/>
      <c r="E261" s="140"/>
      <c r="F261" s="140"/>
      <c r="G261" s="140"/>
      <c r="H261" s="140"/>
      <c r="I261" s="138"/>
      <c r="J261" s="139"/>
      <c r="K261" s="140"/>
      <c r="L261" s="138"/>
      <c r="M261" s="139"/>
      <c r="N261" s="140"/>
      <c r="O261" s="138"/>
      <c r="P261" s="139"/>
      <c r="Q261" s="140"/>
      <c r="R261" s="140"/>
      <c r="S261" s="140"/>
      <c r="T261" s="140"/>
      <c r="U261" s="140"/>
      <c r="V261" s="138"/>
      <c r="W261" s="139"/>
      <c r="X261" s="140"/>
      <c r="Y261" s="138"/>
      <c r="Z261" s="139"/>
      <c r="AA261" s="140"/>
      <c r="AB261" s="138"/>
      <c r="AC261" s="139"/>
      <c r="AD261" s="140"/>
      <c r="AE261" s="138"/>
      <c r="AF261" s="139"/>
      <c r="AG261" s="140"/>
      <c r="AH261" s="138"/>
      <c r="AI261" s="139"/>
      <c r="AJ261" s="140"/>
      <c r="AK261" s="141"/>
      <c r="AL261" s="6"/>
      <c r="AM261" s="6"/>
      <c r="AN261" s="6"/>
      <c r="AO261" s="6"/>
      <c r="AP261" s="6"/>
      <c r="AQ261" s="6"/>
      <c r="AR261" s="6"/>
      <c r="AS261" s="6"/>
      <c r="AT261" s="6"/>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c r="CX261" s="7"/>
      <c r="CY261" s="7"/>
      <c r="CZ261" s="7"/>
      <c r="DA261" s="7"/>
    </row>
    <row r="262" spans="1:105" ht="12" customHeight="1" x14ac:dyDescent="0.25">
      <c r="A262" s="137">
        <v>2</v>
      </c>
      <c r="B262" s="138"/>
      <c r="C262" s="139"/>
      <c r="D262" s="218" t="s">
        <v>273</v>
      </c>
      <c r="E262" s="218"/>
      <c r="F262" s="218"/>
      <c r="G262" s="218"/>
      <c r="H262" s="218"/>
      <c r="I262" s="138"/>
      <c r="J262" s="139"/>
      <c r="K262" s="127" t="s">
        <v>127</v>
      </c>
      <c r="L262" s="138"/>
      <c r="M262" s="139"/>
      <c r="N262" s="219" t="s">
        <v>278</v>
      </c>
      <c r="O262" s="138"/>
      <c r="P262" s="139"/>
      <c r="Q262" s="214" t="s">
        <v>274</v>
      </c>
      <c r="R262" s="214"/>
      <c r="S262" s="214"/>
      <c r="T262" s="140"/>
      <c r="U262" s="140"/>
      <c r="V262" s="138"/>
      <c r="W262" s="139"/>
      <c r="X262" s="169" t="s">
        <v>22</v>
      </c>
      <c r="Y262" s="138"/>
      <c r="Z262" s="139"/>
      <c r="AA262" s="171" t="s">
        <v>275</v>
      </c>
      <c r="AB262" s="138"/>
      <c r="AC262" s="139"/>
      <c r="AD262" s="20">
        <v>8094790000</v>
      </c>
      <c r="AE262" s="138"/>
      <c r="AF262" s="139"/>
      <c r="AG262" s="172" t="s">
        <v>277</v>
      </c>
      <c r="AH262" s="138"/>
      <c r="AI262" s="139"/>
      <c r="AJ262" s="140"/>
      <c r="AK262" s="141"/>
      <c r="AL262" s="6"/>
      <c r="AM262" s="6"/>
      <c r="AN262" s="6"/>
      <c r="AO262" s="6"/>
      <c r="AP262" s="6"/>
      <c r="AQ262" s="6"/>
      <c r="AR262" s="6"/>
      <c r="AS262" s="6"/>
      <c r="AT262" s="6"/>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c r="CW262" s="7"/>
      <c r="CX262" s="7"/>
      <c r="CY262" s="7"/>
      <c r="CZ262" s="7"/>
      <c r="DA262" s="7"/>
    </row>
    <row r="263" spans="1:105" ht="12" customHeight="1" x14ac:dyDescent="0.25">
      <c r="A263" s="137"/>
      <c r="B263" s="138"/>
      <c r="C263" s="139"/>
      <c r="D263" s="218"/>
      <c r="E263" s="218"/>
      <c r="F263" s="218"/>
      <c r="G263" s="218"/>
      <c r="H263" s="218"/>
      <c r="I263" s="138"/>
      <c r="J263" s="139"/>
      <c r="K263" s="140"/>
      <c r="L263" s="138"/>
      <c r="M263" s="139"/>
      <c r="N263" s="219"/>
      <c r="O263" s="138"/>
      <c r="P263" s="139"/>
      <c r="Q263" s="214"/>
      <c r="R263" s="214"/>
      <c r="S263" s="214"/>
      <c r="T263" s="140"/>
      <c r="U263" s="140"/>
      <c r="V263" s="138"/>
      <c r="W263" s="139"/>
      <c r="X263" s="140"/>
      <c r="Y263" s="138"/>
      <c r="Z263" s="139"/>
      <c r="AA263" s="173" t="s">
        <v>276</v>
      </c>
      <c r="AB263" s="138"/>
      <c r="AC263" s="139"/>
      <c r="AD263" s="140"/>
      <c r="AE263" s="138"/>
      <c r="AF263" s="139"/>
      <c r="AG263" s="140"/>
      <c r="AH263" s="138"/>
      <c r="AI263" s="139"/>
      <c r="AJ263" s="140"/>
      <c r="AK263" s="141"/>
      <c r="AL263" s="6"/>
      <c r="AM263" s="6"/>
      <c r="AN263" s="6"/>
      <c r="AO263" s="6"/>
      <c r="AP263" s="6"/>
      <c r="AQ263" s="6"/>
      <c r="AR263" s="6"/>
      <c r="AS263" s="6"/>
      <c r="AT263" s="6"/>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c r="CW263" s="7"/>
      <c r="CX263" s="7"/>
      <c r="CY263" s="7"/>
      <c r="CZ263" s="7"/>
      <c r="DA263" s="7"/>
    </row>
    <row r="264" spans="1:105" ht="12" customHeight="1" x14ac:dyDescent="0.25">
      <c r="A264" s="137"/>
      <c r="B264" s="138"/>
      <c r="C264" s="139"/>
      <c r="D264" s="218"/>
      <c r="E264" s="218"/>
      <c r="F264" s="218"/>
      <c r="G264" s="218"/>
      <c r="H264" s="218"/>
      <c r="I264" s="138"/>
      <c r="J264" s="139"/>
      <c r="K264" s="140"/>
      <c r="L264" s="138"/>
      <c r="M264" s="139"/>
      <c r="N264" s="219"/>
      <c r="O264" s="138"/>
      <c r="P264" s="139"/>
      <c r="Q264" s="140"/>
      <c r="R264" s="140"/>
      <c r="S264" s="140"/>
      <c r="T264" s="140"/>
      <c r="U264" s="140"/>
      <c r="V264" s="138"/>
      <c r="W264" s="139"/>
      <c r="X264" s="140"/>
      <c r="Y264" s="138"/>
      <c r="Z264" s="139"/>
      <c r="AA264" s="140"/>
      <c r="AB264" s="138"/>
      <c r="AC264" s="139"/>
      <c r="AD264" s="140"/>
      <c r="AE264" s="138"/>
      <c r="AF264" s="139"/>
      <c r="AG264" s="140"/>
      <c r="AH264" s="138"/>
      <c r="AI264" s="139"/>
      <c r="AJ264" s="140"/>
      <c r="AK264" s="141"/>
      <c r="AL264" s="6"/>
      <c r="AM264" s="6"/>
      <c r="AN264" s="6"/>
      <c r="AO264" s="6"/>
      <c r="AP264" s="6"/>
      <c r="AQ264" s="6"/>
      <c r="AR264" s="6"/>
      <c r="AS264" s="6"/>
      <c r="AT264" s="6"/>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c r="CW264" s="7"/>
      <c r="CX264" s="7"/>
      <c r="CY264" s="7"/>
      <c r="CZ264" s="7"/>
      <c r="DA264" s="7"/>
    </row>
    <row r="265" spans="1:105" ht="12" customHeight="1" x14ac:dyDescent="0.25">
      <c r="A265" s="137"/>
      <c r="B265" s="138"/>
      <c r="C265" s="139"/>
      <c r="D265" s="218"/>
      <c r="E265" s="218"/>
      <c r="F265" s="218"/>
      <c r="G265" s="218"/>
      <c r="H265" s="218"/>
      <c r="I265" s="138"/>
      <c r="J265" s="139"/>
      <c r="K265" s="140"/>
      <c r="L265" s="138"/>
      <c r="M265" s="139"/>
      <c r="N265" s="174"/>
      <c r="O265" s="138"/>
      <c r="P265" s="139"/>
      <c r="Q265" s="140"/>
      <c r="R265" s="140"/>
      <c r="S265" s="140"/>
      <c r="T265" s="140"/>
      <c r="U265" s="140"/>
      <c r="V265" s="138"/>
      <c r="W265" s="139"/>
      <c r="X265" s="140"/>
      <c r="Y265" s="138"/>
      <c r="Z265" s="139"/>
      <c r="AA265" s="140"/>
      <c r="AB265" s="138"/>
      <c r="AC265" s="139"/>
      <c r="AD265" s="140"/>
      <c r="AE265" s="138"/>
      <c r="AF265" s="139"/>
      <c r="AG265" s="140"/>
      <c r="AH265" s="138"/>
      <c r="AI265" s="139"/>
      <c r="AJ265" s="140"/>
      <c r="AK265" s="141"/>
      <c r="AL265" s="6"/>
      <c r="AM265" s="6"/>
      <c r="AN265" s="6"/>
      <c r="AO265" s="6"/>
      <c r="AP265" s="6"/>
      <c r="AQ265" s="6"/>
      <c r="AR265" s="6"/>
      <c r="AS265" s="6"/>
      <c r="AT265" s="6"/>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c r="CW265" s="7"/>
      <c r="CX265" s="7"/>
      <c r="CY265" s="7"/>
      <c r="CZ265" s="7"/>
      <c r="DA265" s="7"/>
    </row>
    <row r="266" spans="1:105" ht="12" customHeight="1" x14ac:dyDescent="0.25">
      <c r="A266" s="137"/>
      <c r="B266" s="138"/>
      <c r="C266" s="139"/>
      <c r="D266" s="140"/>
      <c r="E266" s="140"/>
      <c r="F266" s="140"/>
      <c r="G266" s="140"/>
      <c r="H266" s="140"/>
      <c r="I266" s="138"/>
      <c r="J266" s="139"/>
      <c r="K266" s="140"/>
      <c r="L266" s="138"/>
      <c r="M266" s="139"/>
      <c r="N266" s="140"/>
      <c r="O266" s="138"/>
      <c r="P266" s="139"/>
      <c r="Q266" s="140"/>
      <c r="R266" s="140"/>
      <c r="S266" s="140"/>
      <c r="T266" s="140"/>
      <c r="U266" s="140"/>
      <c r="V266" s="138"/>
      <c r="W266" s="139"/>
      <c r="X266" s="140"/>
      <c r="Y266" s="138"/>
      <c r="Z266" s="139"/>
      <c r="AA266" s="140"/>
      <c r="AB266" s="138"/>
      <c r="AC266" s="139"/>
      <c r="AD266" s="140"/>
      <c r="AE266" s="138"/>
      <c r="AF266" s="139"/>
      <c r="AG266" s="140"/>
      <c r="AH266" s="138"/>
      <c r="AI266" s="139"/>
      <c r="AJ266" s="140"/>
      <c r="AK266" s="141"/>
      <c r="AL266" s="6"/>
      <c r="AM266" s="6"/>
      <c r="AN266" s="6"/>
      <c r="AO266" s="6"/>
      <c r="AP266" s="6"/>
      <c r="AQ266" s="6"/>
      <c r="AR266" s="6"/>
      <c r="AS266" s="6"/>
      <c r="AT266" s="6"/>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c r="CC266" s="7"/>
      <c r="CD266" s="7"/>
      <c r="CE266" s="7"/>
      <c r="CF266" s="7"/>
      <c r="CG266" s="7"/>
      <c r="CH266" s="7"/>
      <c r="CI266" s="7"/>
      <c r="CJ266" s="7"/>
      <c r="CK266" s="7"/>
      <c r="CL266" s="7"/>
      <c r="CM266" s="7"/>
      <c r="CN266" s="7"/>
      <c r="CO266" s="7"/>
      <c r="CP266" s="7"/>
      <c r="CQ266" s="7"/>
      <c r="CR266" s="7"/>
      <c r="CS266" s="7"/>
      <c r="CT266" s="7"/>
      <c r="CU266" s="7"/>
      <c r="CV266" s="7"/>
      <c r="CW266" s="7"/>
      <c r="CX266" s="7"/>
      <c r="CY266" s="7"/>
      <c r="CZ266" s="7"/>
      <c r="DA266" s="7"/>
    </row>
    <row r="267" spans="1:105" ht="12" customHeight="1" x14ac:dyDescent="0.25">
      <c r="A267" s="137">
        <v>3</v>
      </c>
      <c r="B267" s="138"/>
      <c r="C267" s="139"/>
      <c r="D267" s="167" t="s">
        <v>290</v>
      </c>
      <c r="E267" s="140"/>
      <c r="F267" s="140"/>
      <c r="G267" s="140"/>
      <c r="H267" s="140"/>
      <c r="I267" s="138"/>
      <c r="J267" s="139"/>
      <c r="K267" s="127" t="s">
        <v>156</v>
      </c>
      <c r="L267" s="138"/>
      <c r="M267" s="139"/>
      <c r="N267" s="171" t="s">
        <v>33</v>
      </c>
      <c r="O267" s="138"/>
      <c r="P267" s="139"/>
      <c r="Q267" s="214" t="s">
        <v>269</v>
      </c>
      <c r="R267" s="214"/>
      <c r="S267" s="214"/>
      <c r="T267" s="140"/>
      <c r="U267" s="140"/>
      <c r="V267" s="138"/>
      <c r="W267" s="139"/>
      <c r="X267" s="169" t="s">
        <v>22</v>
      </c>
      <c r="Y267" s="138"/>
      <c r="Z267" s="139"/>
      <c r="AA267" s="171" t="s">
        <v>291</v>
      </c>
      <c r="AB267" s="138"/>
      <c r="AC267" s="139"/>
      <c r="AD267" s="20">
        <v>8937331500</v>
      </c>
      <c r="AE267" s="138"/>
      <c r="AF267" s="139"/>
      <c r="AG267" s="172" t="s">
        <v>293</v>
      </c>
      <c r="AH267" s="138"/>
      <c r="AI267" s="139"/>
      <c r="AJ267" s="140"/>
      <c r="AK267" s="141"/>
      <c r="AL267" s="6"/>
      <c r="AM267" s="6"/>
      <c r="AN267" s="6"/>
      <c r="AO267" s="6"/>
      <c r="AP267" s="6"/>
      <c r="AQ267" s="6"/>
      <c r="AR267" s="6"/>
      <c r="AS267" s="6"/>
      <c r="AT267" s="6"/>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c r="CO267" s="7"/>
      <c r="CP267" s="7"/>
      <c r="CQ267" s="7"/>
      <c r="CR267" s="7"/>
      <c r="CS267" s="7"/>
      <c r="CT267" s="7"/>
      <c r="CU267" s="7"/>
      <c r="CV267" s="7"/>
      <c r="CW267" s="7"/>
      <c r="CX267" s="7"/>
      <c r="CY267" s="7"/>
      <c r="CZ267" s="7"/>
      <c r="DA267" s="7"/>
    </row>
    <row r="268" spans="1:105" ht="12" customHeight="1" x14ac:dyDescent="0.25">
      <c r="A268" s="137"/>
      <c r="B268" s="138"/>
      <c r="C268" s="139"/>
      <c r="D268" s="140"/>
      <c r="E268" s="140"/>
      <c r="F268" s="140"/>
      <c r="G268" s="140"/>
      <c r="H268" s="140"/>
      <c r="I268" s="138"/>
      <c r="J268" s="139"/>
      <c r="K268" s="140"/>
      <c r="L268" s="138"/>
      <c r="M268" s="139"/>
      <c r="N268" s="140"/>
      <c r="O268" s="138"/>
      <c r="P268" s="139"/>
      <c r="Q268" s="214"/>
      <c r="R268" s="214"/>
      <c r="S268" s="214"/>
      <c r="T268" s="140"/>
      <c r="U268" s="140"/>
      <c r="V268" s="138"/>
      <c r="W268" s="139"/>
      <c r="X268" s="140"/>
      <c r="Y268" s="138"/>
      <c r="Z268" s="139"/>
      <c r="AA268" s="173" t="s">
        <v>292</v>
      </c>
      <c r="AB268" s="138"/>
      <c r="AC268" s="139"/>
      <c r="AD268" s="140"/>
      <c r="AE268" s="138"/>
      <c r="AF268" s="139"/>
      <c r="AG268" s="140"/>
      <c r="AH268" s="138"/>
      <c r="AI268" s="139"/>
      <c r="AJ268" s="140"/>
      <c r="AK268" s="141"/>
      <c r="AL268" s="6"/>
      <c r="AM268" s="6"/>
      <c r="AN268" s="6"/>
      <c r="AO268" s="6"/>
      <c r="AP268" s="6"/>
      <c r="AQ268" s="6"/>
      <c r="AR268" s="6"/>
      <c r="AS268" s="6"/>
      <c r="AT268" s="6"/>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c r="CX268" s="7"/>
      <c r="CY268" s="7"/>
      <c r="CZ268" s="7"/>
      <c r="DA268" s="7"/>
    </row>
    <row r="269" spans="1:105" ht="12" customHeight="1" x14ac:dyDescent="0.25">
      <c r="A269" s="137"/>
      <c r="B269" s="138"/>
      <c r="C269" s="139"/>
      <c r="D269" s="140"/>
      <c r="E269" s="140"/>
      <c r="F269" s="140"/>
      <c r="G269" s="140"/>
      <c r="H269" s="140"/>
      <c r="I269" s="138"/>
      <c r="J269" s="139"/>
      <c r="K269" s="140"/>
      <c r="L269" s="138"/>
      <c r="M269" s="139"/>
      <c r="N269" s="140"/>
      <c r="O269" s="138"/>
      <c r="P269" s="139"/>
      <c r="Q269" s="164"/>
      <c r="R269" s="164"/>
      <c r="S269" s="164"/>
      <c r="T269" s="140"/>
      <c r="U269" s="140"/>
      <c r="V269" s="138"/>
      <c r="W269" s="139"/>
      <c r="X269" s="140"/>
      <c r="Y269" s="138"/>
      <c r="Z269" s="139"/>
      <c r="AA269" s="173"/>
      <c r="AB269" s="138"/>
      <c r="AC269" s="139"/>
      <c r="AD269" s="20"/>
      <c r="AE269" s="138"/>
      <c r="AF269" s="139"/>
      <c r="AG269" s="140"/>
      <c r="AH269" s="138"/>
      <c r="AI269" s="139"/>
      <c r="AJ269" s="140"/>
      <c r="AK269" s="141"/>
      <c r="AL269" s="6"/>
      <c r="AM269" s="6"/>
      <c r="AN269" s="6"/>
      <c r="AO269" s="6"/>
      <c r="AP269" s="6"/>
      <c r="AQ269" s="6"/>
      <c r="AR269" s="6"/>
      <c r="AS269" s="6"/>
      <c r="AT269" s="6"/>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s="7"/>
      <c r="CW269" s="7"/>
      <c r="CX269" s="7"/>
      <c r="CY269" s="7"/>
      <c r="CZ269" s="7"/>
      <c r="DA269" s="7"/>
    </row>
    <row r="270" spans="1:105" ht="12" customHeight="1" x14ac:dyDescent="0.25">
      <c r="A270" s="137">
        <v>4</v>
      </c>
      <c r="B270" s="138"/>
      <c r="C270" s="139"/>
      <c r="D270" s="213" t="s">
        <v>300</v>
      </c>
      <c r="E270" s="222"/>
      <c r="F270" s="222"/>
      <c r="G270" s="222"/>
      <c r="H270" s="222"/>
      <c r="I270" s="138"/>
      <c r="J270" s="139"/>
      <c r="K270" s="171" t="s">
        <v>243</v>
      </c>
      <c r="L270" s="138"/>
      <c r="M270" s="139"/>
      <c r="N270" s="171" t="s">
        <v>26</v>
      </c>
      <c r="O270" s="138"/>
      <c r="P270" s="139"/>
      <c r="Q270" s="223" t="s">
        <v>301</v>
      </c>
      <c r="R270" s="224"/>
      <c r="S270" s="224"/>
      <c r="T270" s="140"/>
      <c r="U270" s="140"/>
      <c r="V270" s="138"/>
      <c r="W270" s="139"/>
      <c r="X270" s="169" t="s">
        <v>22</v>
      </c>
      <c r="Y270" s="138"/>
      <c r="Z270" s="139"/>
      <c r="AA270" s="226" t="s">
        <v>302</v>
      </c>
      <c r="AB270" s="138"/>
      <c r="AC270" s="139"/>
      <c r="AD270" s="20">
        <v>20752560000</v>
      </c>
      <c r="AE270" s="138"/>
      <c r="AF270" s="139"/>
      <c r="AG270" s="172" t="s">
        <v>125</v>
      </c>
      <c r="AH270" s="138"/>
      <c r="AI270" s="139"/>
      <c r="AJ270" s="140"/>
      <c r="AK270" s="141"/>
      <c r="AL270" s="6"/>
      <c r="AM270" s="6"/>
      <c r="AN270" s="6"/>
      <c r="AO270" s="6"/>
      <c r="AP270" s="6"/>
      <c r="AQ270" s="6"/>
      <c r="AR270" s="6"/>
      <c r="AS270" s="6"/>
      <c r="AT270" s="6"/>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c r="CC270" s="7"/>
      <c r="CD270" s="7"/>
      <c r="CE270" s="7"/>
      <c r="CF270" s="7"/>
      <c r="CG270" s="7"/>
      <c r="CH270" s="7"/>
      <c r="CI270" s="7"/>
      <c r="CJ270" s="7"/>
      <c r="CK270" s="7"/>
      <c r="CL270" s="7"/>
      <c r="CM270" s="7"/>
      <c r="CN270" s="7"/>
      <c r="CO270" s="7"/>
      <c r="CP270" s="7"/>
      <c r="CQ270" s="7"/>
      <c r="CR270" s="7"/>
      <c r="CS270" s="7"/>
      <c r="CT270" s="7"/>
      <c r="CU270" s="7"/>
      <c r="CV270" s="7"/>
      <c r="CW270" s="7"/>
      <c r="CX270" s="7"/>
      <c r="CY270" s="7"/>
      <c r="CZ270" s="7"/>
      <c r="DA270" s="7"/>
    </row>
    <row r="271" spans="1:105" ht="12" customHeight="1" x14ac:dyDescent="0.25">
      <c r="A271" s="142"/>
      <c r="B271" s="138"/>
      <c r="C271" s="139"/>
      <c r="D271" s="222"/>
      <c r="E271" s="222"/>
      <c r="F271" s="222"/>
      <c r="G271" s="222"/>
      <c r="H271" s="222"/>
      <c r="I271" s="138"/>
      <c r="J271" s="139"/>
      <c r="K271" s="140"/>
      <c r="L271" s="138"/>
      <c r="M271" s="139"/>
      <c r="N271" s="140"/>
      <c r="O271" s="138"/>
      <c r="P271" s="139"/>
      <c r="Q271" s="224"/>
      <c r="R271" s="224"/>
      <c r="S271" s="224"/>
      <c r="T271" s="140"/>
      <c r="U271" s="140"/>
      <c r="V271" s="138"/>
      <c r="W271" s="139"/>
      <c r="X271" s="140"/>
      <c r="Y271" s="138"/>
      <c r="Z271" s="139"/>
      <c r="AA271" s="226"/>
      <c r="AB271" s="138"/>
      <c r="AC271" s="139"/>
      <c r="AD271" s="140"/>
      <c r="AE271" s="138"/>
      <c r="AF271" s="139"/>
      <c r="AG271" s="140"/>
      <c r="AH271" s="138"/>
      <c r="AI271" s="139"/>
      <c r="AJ271" s="140"/>
      <c r="AK271" s="141"/>
      <c r="AL271" s="6"/>
      <c r="AM271" s="6"/>
      <c r="AN271" s="6"/>
      <c r="AO271" s="6"/>
      <c r="AP271" s="6"/>
      <c r="AQ271" s="6"/>
      <c r="AR271" s="6"/>
      <c r="AS271" s="6"/>
      <c r="AT271" s="6"/>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c r="CW271" s="7"/>
      <c r="CX271" s="7"/>
      <c r="CY271" s="7"/>
      <c r="CZ271" s="7"/>
      <c r="DA271" s="7"/>
    </row>
    <row r="272" spans="1:105" ht="12" customHeight="1" x14ac:dyDescent="0.25">
      <c r="A272" s="142"/>
      <c r="B272" s="138"/>
      <c r="C272" s="139"/>
      <c r="D272" s="140"/>
      <c r="E272" s="140"/>
      <c r="F272" s="140"/>
      <c r="G272" s="140"/>
      <c r="H272" s="140"/>
      <c r="I272" s="138"/>
      <c r="J272" s="139"/>
      <c r="K272" s="140"/>
      <c r="L272" s="138"/>
      <c r="M272" s="139"/>
      <c r="N272" s="140"/>
      <c r="O272" s="138"/>
      <c r="P272" s="139"/>
      <c r="Q272" s="224"/>
      <c r="R272" s="224"/>
      <c r="S272" s="224"/>
      <c r="T272" s="140"/>
      <c r="U272" s="140"/>
      <c r="V272" s="138"/>
      <c r="W272" s="139"/>
      <c r="X272" s="140"/>
      <c r="Y272" s="138"/>
      <c r="Z272" s="139"/>
      <c r="AA272" s="140"/>
      <c r="AB272" s="138"/>
      <c r="AC272" s="139"/>
      <c r="AD272" s="140"/>
      <c r="AE272" s="138"/>
      <c r="AF272" s="139"/>
      <c r="AG272" s="140"/>
      <c r="AH272" s="138"/>
      <c r="AI272" s="139"/>
      <c r="AJ272" s="140"/>
      <c r="AK272" s="141"/>
      <c r="AL272" s="6"/>
      <c r="AM272" s="6"/>
      <c r="AN272" s="6"/>
      <c r="AO272" s="6"/>
      <c r="AP272" s="6"/>
      <c r="AQ272" s="6"/>
      <c r="AR272" s="6"/>
      <c r="AS272" s="6"/>
      <c r="AT272" s="6"/>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c r="CL272" s="7"/>
      <c r="CM272" s="7"/>
      <c r="CN272" s="7"/>
      <c r="CO272" s="7"/>
      <c r="CP272" s="7"/>
      <c r="CQ272" s="7"/>
      <c r="CR272" s="7"/>
      <c r="CS272" s="7"/>
      <c r="CT272" s="7"/>
      <c r="CU272" s="7"/>
      <c r="CV272" s="7"/>
      <c r="CW272" s="7"/>
      <c r="CX272" s="7"/>
      <c r="CY272" s="7"/>
      <c r="CZ272" s="7"/>
      <c r="DA272" s="7"/>
    </row>
    <row r="273" spans="1:105" ht="12" customHeight="1" x14ac:dyDescent="0.25">
      <c r="A273" s="142"/>
      <c r="B273" s="138"/>
      <c r="C273" s="139"/>
      <c r="D273" s="140"/>
      <c r="E273" s="140"/>
      <c r="F273" s="140"/>
      <c r="G273" s="140"/>
      <c r="H273" s="140"/>
      <c r="I273" s="138"/>
      <c r="J273" s="139"/>
      <c r="K273" s="140"/>
      <c r="L273" s="138"/>
      <c r="M273" s="139"/>
      <c r="N273" s="140"/>
      <c r="O273" s="138"/>
      <c r="P273" s="139"/>
      <c r="Q273" s="140"/>
      <c r="R273" s="140"/>
      <c r="S273" s="140"/>
      <c r="T273" s="140"/>
      <c r="U273" s="140"/>
      <c r="V273" s="138"/>
      <c r="W273" s="139"/>
      <c r="X273" s="140"/>
      <c r="Y273" s="138"/>
      <c r="Z273" s="139"/>
      <c r="AA273" s="140"/>
      <c r="AB273" s="138"/>
      <c r="AC273" s="139"/>
      <c r="AD273" s="140"/>
      <c r="AE273" s="138"/>
      <c r="AF273" s="139"/>
      <c r="AG273" s="140"/>
      <c r="AH273" s="138"/>
      <c r="AI273" s="139"/>
      <c r="AJ273" s="140"/>
      <c r="AK273" s="141"/>
      <c r="AL273" s="6"/>
      <c r="AM273" s="6"/>
      <c r="AN273" s="6"/>
      <c r="AO273" s="6"/>
      <c r="AP273" s="6"/>
      <c r="AQ273" s="6"/>
      <c r="AR273" s="6"/>
      <c r="AS273" s="6"/>
      <c r="AT273" s="6"/>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c r="CW273" s="7"/>
      <c r="CX273" s="7"/>
      <c r="CY273" s="7"/>
      <c r="CZ273" s="7"/>
      <c r="DA273" s="7"/>
    </row>
    <row r="274" spans="1:105" ht="12" customHeight="1" thickBot="1" x14ac:dyDescent="0.3">
      <c r="A274" s="143"/>
      <c r="B274" s="134"/>
      <c r="C274" s="135"/>
      <c r="D274" s="135"/>
      <c r="E274" s="135"/>
      <c r="F274" s="135"/>
      <c r="G274" s="135"/>
      <c r="H274" s="135"/>
      <c r="I274" s="134"/>
      <c r="J274" s="144"/>
      <c r="K274" s="136"/>
      <c r="L274" s="145"/>
      <c r="M274" s="144"/>
      <c r="N274" s="136"/>
      <c r="O274" s="145"/>
      <c r="P274" s="144"/>
      <c r="Q274" s="144"/>
      <c r="R274" s="144"/>
      <c r="S274" s="144"/>
      <c r="T274" s="145"/>
      <c r="U274" s="144"/>
      <c r="V274" s="145"/>
      <c r="W274" s="144"/>
      <c r="X274" s="136"/>
      <c r="Y274" s="145"/>
      <c r="Z274" s="135"/>
      <c r="AA274" s="135"/>
      <c r="AB274" s="134"/>
      <c r="AC274" s="135"/>
      <c r="AD274" s="135"/>
      <c r="AE274" s="134"/>
      <c r="AF274" s="135"/>
      <c r="AG274" s="135"/>
      <c r="AH274" s="146"/>
      <c r="AI274" s="136"/>
      <c r="AJ274" s="136"/>
      <c r="AK274" s="14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s="7"/>
      <c r="CW274" s="7"/>
      <c r="CX274" s="7"/>
      <c r="CY274" s="7"/>
      <c r="CZ274" s="7"/>
      <c r="DA274" s="7"/>
    </row>
    <row r="275" spans="1:105" ht="12" customHeight="1" thickTop="1" thickBot="1" x14ac:dyDescent="0.3">
      <c r="A275" s="143"/>
      <c r="B275" s="134"/>
      <c r="C275" s="135"/>
      <c r="D275" s="135"/>
      <c r="E275" s="135"/>
      <c r="F275" s="135"/>
      <c r="G275" s="135"/>
      <c r="H275" s="135"/>
      <c r="I275" s="134"/>
      <c r="J275" s="144"/>
      <c r="K275" s="136"/>
      <c r="L275" s="145"/>
      <c r="M275" s="144"/>
      <c r="N275" s="136"/>
      <c r="O275" s="145"/>
      <c r="P275" s="144"/>
      <c r="Q275" s="144"/>
      <c r="R275" s="144"/>
      <c r="S275" s="144"/>
      <c r="T275" s="145"/>
      <c r="U275" s="144"/>
      <c r="V275" s="145"/>
      <c r="W275" s="144"/>
      <c r="X275" s="136"/>
      <c r="Y275" s="145"/>
      <c r="Z275" s="135"/>
      <c r="AA275" s="135"/>
      <c r="AB275" s="134"/>
      <c r="AC275" s="135"/>
      <c r="AD275" s="135"/>
      <c r="AE275" s="134"/>
      <c r="AF275" s="135"/>
      <c r="AG275" s="136"/>
      <c r="AH275" s="146"/>
      <c r="AI275" s="136"/>
      <c r="AJ275" s="136"/>
      <c r="AK275" s="14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s="7"/>
      <c r="CW275" s="7"/>
      <c r="CX275" s="7"/>
      <c r="CY275" s="7"/>
      <c r="CZ275" s="7"/>
      <c r="DA275" s="7"/>
    </row>
    <row r="276" spans="1:105" ht="13.5" thickTop="1" thickBo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c r="CL276" s="7"/>
      <c r="CM276" s="7"/>
      <c r="CN276" s="7"/>
      <c r="CO276" s="7"/>
      <c r="CP276" s="7"/>
      <c r="CQ276" s="7"/>
      <c r="CR276" s="7"/>
      <c r="CS276" s="7"/>
      <c r="CT276" s="7"/>
      <c r="CU276" s="7"/>
      <c r="CV276" s="7"/>
      <c r="CW276" s="7"/>
      <c r="CX276" s="7"/>
      <c r="CY276" s="7"/>
      <c r="CZ276" s="7"/>
      <c r="DA276" s="7"/>
    </row>
    <row r="277" spans="1:105"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c r="CW277" s="7"/>
      <c r="CX277" s="7"/>
      <c r="CY277" s="7"/>
      <c r="CZ277" s="7"/>
      <c r="DA277" s="7"/>
    </row>
    <row r="278" spans="1:105"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c r="CZ278" s="7"/>
      <c r="DA278" s="7"/>
    </row>
    <row r="279" spans="1:105"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c r="CC279" s="7"/>
      <c r="CD279" s="7"/>
      <c r="CE279" s="7"/>
      <c r="CF279" s="7"/>
      <c r="CG279" s="7"/>
      <c r="CH279" s="7"/>
      <c r="CI279" s="7"/>
      <c r="CJ279" s="7"/>
      <c r="CK279" s="7"/>
      <c r="CL279" s="7"/>
      <c r="CM279" s="7"/>
      <c r="CN279" s="7"/>
      <c r="CO279" s="7"/>
      <c r="CP279" s="7"/>
      <c r="CQ279" s="7"/>
      <c r="CR279" s="7"/>
      <c r="CS279" s="7"/>
      <c r="CT279" s="7"/>
      <c r="CU279" s="7"/>
      <c r="CV279" s="7"/>
      <c r="CW279" s="7"/>
      <c r="CX279" s="7"/>
      <c r="CY279" s="7"/>
      <c r="CZ279" s="7"/>
      <c r="DA279" s="7"/>
    </row>
    <row r="280" spans="1:105"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c r="CC280" s="7"/>
      <c r="CD280" s="7"/>
      <c r="CE280" s="7"/>
      <c r="CF280" s="7"/>
      <c r="CG280" s="7"/>
      <c r="CH280" s="7"/>
      <c r="CI280" s="7"/>
      <c r="CJ280" s="7"/>
      <c r="CK280" s="7"/>
      <c r="CL280" s="7"/>
      <c r="CM280" s="7"/>
      <c r="CN280" s="7"/>
      <c r="CO280" s="7"/>
      <c r="CP280" s="7"/>
      <c r="CQ280" s="7"/>
      <c r="CR280" s="7"/>
      <c r="CS280" s="7"/>
      <c r="CT280" s="7"/>
      <c r="CU280" s="7"/>
      <c r="CV280" s="7"/>
      <c r="CW280" s="7"/>
      <c r="CX280" s="7"/>
      <c r="CY280" s="7"/>
      <c r="CZ280" s="7"/>
      <c r="DA280" s="7"/>
    </row>
    <row r="281" spans="1:105"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c r="CL281" s="7"/>
      <c r="CM281" s="7"/>
      <c r="CN281" s="7"/>
      <c r="CO281" s="7"/>
      <c r="CP281" s="7"/>
      <c r="CQ281" s="7"/>
      <c r="CR281" s="7"/>
      <c r="CS281" s="7"/>
      <c r="CT281" s="7"/>
      <c r="CU281" s="7"/>
      <c r="CV281" s="7"/>
      <c r="CW281" s="7"/>
      <c r="CX281" s="7"/>
      <c r="CY281" s="7"/>
      <c r="CZ281" s="7"/>
      <c r="DA281" s="7"/>
    </row>
    <row r="282" spans="1:105"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c r="CC282" s="7"/>
      <c r="CD282" s="7"/>
      <c r="CE282" s="7"/>
      <c r="CF282" s="7"/>
      <c r="CG282" s="7"/>
      <c r="CH282" s="7"/>
      <c r="CI282" s="7"/>
      <c r="CJ282" s="7"/>
      <c r="CK282" s="7"/>
      <c r="CL282" s="7"/>
      <c r="CM282" s="7"/>
      <c r="CN282" s="7"/>
      <c r="CO282" s="7"/>
      <c r="CP282" s="7"/>
      <c r="CQ282" s="7"/>
      <c r="CR282" s="7"/>
      <c r="CS282" s="7"/>
      <c r="CT282" s="7"/>
      <c r="CU282" s="7"/>
      <c r="CV282" s="7"/>
      <c r="CW282" s="7"/>
      <c r="CX282" s="7"/>
      <c r="CY282" s="7"/>
      <c r="CZ282" s="7"/>
      <c r="DA282" s="7"/>
    </row>
    <row r="283" spans="1:105"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c r="CL283" s="7"/>
      <c r="CM283" s="7"/>
      <c r="CN283" s="7"/>
      <c r="CO283" s="7"/>
      <c r="CP283" s="7"/>
      <c r="CQ283" s="7"/>
      <c r="CR283" s="7"/>
      <c r="CS283" s="7"/>
      <c r="CT283" s="7"/>
      <c r="CU283" s="7"/>
      <c r="CV283" s="7"/>
      <c r="CW283" s="7"/>
      <c r="CX283" s="7"/>
      <c r="CY283" s="7"/>
      <c r="CZ283" s="7"/>
      <c r="DA283" s="7"/>
    </row>
    <row r="284" spans="1:105"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c r="CC284" s="7"/>
      <c r="CD284" s="7"/>
      <c r="CE284" s="7"/>
      <c r="CF284" s="7"/>
      <c r="CG284" s="7"/>
      <c r="CH284" s="7"/>
      <c r="CI284" s="7"/>
      <c r="CJ284" s="7"/>
      <c r="CK284" s="7"/>
      <c r="CL284" s="7"/>
      <c r="CM284" s="7"/>
      <c r="CN284" s="7"/>
      <c r="CO284" s="7"/>
      <c r="CP284" s="7"/>
      <c r="CQ284" s="7"/>
      <c r="CR284" s="7"/>
      <c r="CS284" s="7"/>
      <c r="CT284" s="7"/>
      <c r="CU284" s="7"/>
      <c r="CV284" s="7"/>
      <c r="CW284" s="7"/>
      <c r="CX284" s="7"/>
      <c r="CY284" s="7"/>
      <c r="CZ284" s="7"/>
      <c r="DA284" s="7"/>
    </row>
    <row r="285" spans="1:105"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c r="CC285" s="7"/>
      <c r="CD285" s="7"/>
      <c r="CE285" s="7"/>
      <c r="CF285" s="7"/>
      <c r="CG285" s="7"/>
      <c r="CH285" s="7"/>
      <c r="CI285" s="7"/>
      <c r="CJ285" s="7"/>
      <c r="CK285" s="7"/>
      <c r="CL285" s="7"/>
      <c r="CM285" s="7"/>
      <c r="CN285" s="7"/>
      <c r="CO285" s="7"/>
      <c r="CP285" s="7"/>
      <c r="CQ285" s="7"/>
      <c r="CR285" s="7"/>
      <c r="CS285" s="7"/>
      <c r="CT285" s="7"/>
      <c r="CU285" s="7"/>
      <c r="CV285" s="7"/>
      <c r="CW285" s="7"/>
      <c r="CX285" s="7"/>
      <c r="CY285" s="7"/>
      <c r="CZ285" s="7"/>
      <c r="DA285" s="7"/>
    </row>
    <row r="286" spans="1:105"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c r="CC286" s="7"/>
      <c r="CD286" s="7"/>
      <c r="CE286" s="7"/>
      <c r="CF286" s="7"/>
      <c r="CG286" s="7"/>
      <c r="CH286" s="7"/>
      <c r="CI286" s="7"/>
      <c r="CJ286" s="7"/>
      <c r="CK286" s="7"/>
      <c r="CL286" s="7"/>
      <c r="CM286" s="7"/>
      <c r="CN286" s="7"/>
      <c r="CO286" s="7"/>
      <c r="CP286" s="7"/>
      <c r="CQ286" s="7"/>
      <c r="CR286" s="7"/>
      <c r="CS286" s="7"/>
      <c r="CT286" s="7"/>
      <c r="CU286" s="7"/>
      <c r="CV286" s="7"/>
      <c r="CW286" s="7"/>
      <c r="CX286" s="7"/>
      <c r="CY286" s="7"/>
      <c r="CZ286" s="7"/>
      <c r="DA286" s="7"/>
    </row>
    <row r="287" spans="1:105"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c r="CL287" s="7"/>
      <c r="CM287" s="7"/>
      <c r="CN287" s="7"/>
      <c r="CO287" s="7"/>
      <c r="CP287" s="7"/>
      <c r="CQ287" s="7"/>
      <c r="CR287" s="7"/>
      <c r="CS287" s="7"/>
      <c r="CT287" s="7"/>
      <c r="CU287" s="7"/>
      <c r="CV287" s="7"/>
      <c r="CW287" s="7"/>
      <c r="CX287" s="7"/>
      <c r="CY287" s="7"/>
      <c r="CZ287" s="7"/>
      <c r="DA287" s="7"/>
    </row>
    <row r="288" spans="1:105"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s="7"/>
      <c r="CW288" s="7"/>
      <c r="CX288" s="7"/>
      <c r="CY288" s="7"/>
      <c r="CZ288" s="7"/>
      <c r="DA288" s="7"/>
    </row>
    <row r="289" spans="1:105"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7"/>
      <c r="CE289" s="7"/>
      <c r="CF289" s="7"/>
      <c r="CG289" s="7"/>
      <c r="CH289" s="7"/>
      <c r="CI289" s="7"/>
      <c r="CJ289" s="7"/>
      <c r="CK289" s="7"/>
      <c r="CL289" s="7"/>
      <c r="CM289" s="7"/>
      <c r="CN289" s="7"/>
      <c r="CO289" s="7"/>
      <c r="CP289" s="7"/>
      <c r="CQ289" s="7"/>
      <c r="CR289" s="7"/>
      <c r="CS289" s="7"/>
      <c r="CT289" s="7"/>
      <c r="CU289" s="7"/>
      <c r="CV289" s="7"/>
      <c r="CW289" s="7"/>
      <c r="CX289" s="7"/>
      <c r="CY289" s="7"/>
      <c r="CZ289" s="7"/>
      <c r="DA289" s="7"/>
    </row>
    <row r="290" spans="1:105"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c r="CC290" s="7"/>
      <c r="CD290" s="7"/>
      <c r="CE290" s="7"/>
      <c r="CF290" s="7"/>
      <c r="CG290" s="7"/>
      <c r="CH290" s="7"/>
      <c r="CI290" s="7"/>
      <c r="CJ290" s="7"/>
      <c r="CK290" s="7"/>
      <c r="CL290" s="7"/>
      <c r="CM290" s="7"/>
      <c r="CN290" s="7"/>
      <c r="CO290" s="7"/>
      <c r="CP290" s="7"/>
      <c r="CQ290" s="7"/>
      <c r="CR290" s="7"/>
      <c r="CS290" s="7"/>
      <c r="CT290" s="7"/>
      <c r="CU290" s="7"/>
      <c r="CV290" s="7"/>
      <c r="CW290" s="7"/>
      <c r="CX290" s="7"/>
      <c r="CY290" s="7"/>
      <c r="CZ290" s="7"/>
      <c r="DA290" s="7"/>
    </row>
    <row r="291" spans="1:105"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c r="CC291" s="7"/>
      <c r="CD291" s="7"/>
      <c r="CE291" s="7"/>
      <c r="CF291" s="7"/>
      <c r="CG291" s="7"/>
      <c r="CH291" s="7"/>
      <c r="CI291" s="7"/>
      <c r="CJ291" s="7"/>
      <c r="CK291" s="7"/>
      <c r="CL291" s="7"/>
      <c r="CM291" s="7"/>
      <c r="CN291" s="7"/>
      <c r="CO291" s="7"/>
      <c r="CP291" s="7"/>
      <c r="CQ291" s="7"/>
      <c r="CR291" s="7"/>
      <c r="CS291" s="7"/>
      <c r="CT291" s="7"/>
      <c r="CU291" s="7"/>
      <c r="CV291" s="7"/>
      <c r="CW291" s="7"/>
      <c r="CX291" s="7"/>
      <c r="CY291" s="7"/>
      <c r="CZ291" s="7"/>
      <c r="DA291" s="7"/>
    </row>
    <row r="292" spans="1:105"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c r="CC292" s="7"/>
      <c r="CD292" s="7"/>
      <c r="CE292" s="7"/>
      <c r="CF292" s="7"/>
      <c r="CG292" s="7"/>
      <c r="CH292" s="7"/>
      <c r="CI292" s="7"/>
      <c r="CJ292" s="7"/>
      <c r="CK292" s="7"/>
      <c r="CL292" s="7"/>
      <c r="CM292" s="7"/>
      <c r="CN292" s="7"/>
      <c r="CO292" s="7"/>
      <c r="CP292" s="7"/>
      <c r="CQ292" s="7"/>
      <c r="CR292" s="7"/>
      <c r="CS292" s="7"/>
      <c r="CT292" s="7"/>
      <c r="CU292" s="7"/>
      <c r="CV292" s="7"/>
      <c r="CW292" s="7"/>
      <c r="CX292" s="7"/>
      <c r="CY292" s="7"/>
      <c r="CZ292" s="7"/>
      <c r="DA292" s="7"/>
    </row>
    <row r="293" spans="1:105"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7"/>
      <c r="CK293" s="7"/>
      <c r="CL293" s="7"/>
      <c r="CM293" s="7"/>
      <c r="CN293" s="7"/>
      <c r="CO293" s="7"/>
      <c r="CP293" s="7"/>
      <c r="CQ293" s="7"/>
      <c r="CR293" s="7"/>
      <c r="CS293" s="7"/>
      <c r="CT293" s="7"/>
      <c r="CU293" s="7"/>
      <c r="CV293" s="7"/>
      <c r="CW293" s="7"/>
      <c r="CX293" s="7"/>
      <c r="CY293" s="7"/>
      <c r="CZ293" s="7"/>
      <c r="DA293" s="7"/>
    </row>
    <row r="294" spans="1:105"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c r="CC294" s="7"/>
      <c r="CD294" s="7"/>
      <c r="CE294" s="7"/>
      <c r="CF294" s="7"/>
      <c r="CG294" s="7"/>
      <c r="CH294" s="7"/>
      <c r="CI294" s="7"/>
      <c r="CJ294" s="7"/>
      <c r="CK294" s="7"/>
      <c r="CL294" s="7"/>
      <c r="CM294" s="7"/>
      <c r="CN294" s="7"/>
      <c r="CO294" s="7"/>
      <c r="CP294" s="7"/>
      <c r="CQ294" s="7"/>
      <c r="CR294" s="7"/>
      <c r="CS294" s="7"/>
      <c r="CT294" s="7"/>
      <c r="CU294" s="7"/>
      <c r="CV294" s="7"/>
      <c r="CW294" s="7"/>
      <c r="CX294" s="7"/>
      <c r="CY294" s="7"/>
      <c r="CZ294" s="7"/>
      <c r="DA294" s="7"/>
    </row>
    <row r="295" spans="1:105"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7"/>
      <c r="CH295" s="7"/>
      <c r="CI295" s="7"/>
      <c r="CJ295" s="7"/>
      <c r="CK295" s="7"/>
      <c r="CL295" s="7"/>
      <c r="CM295" s="7"/>
      <c r="CN295" s="7"/>
      <c r="CO295" s="7"/>
      <c r="CP295" s="7"/>
      <c r="CQ295" s="7"/>
      <c r="CR295" s="7"/>
      <c r="CS295" s="7"/>
      <c r="CT295" s="7"/>
      <c r="CU295" s="7"/>
      <c r="CV295" s="7"/>
      <c r="CW295" s="7"/>
      <c r="CX295" s="7"/>
      <c r="CY295" s="7"/>
      <c r="CZ295" s="7"/>
      <c r="DA295" s="7"/>
    </row>
    <row r="296" spans="1:105"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c r="CC296" s="7"/>
      <c r="CD296" s="7"/>
      <c r="CE296" s="7"/>
      <c r="CF296" s="7"/>
      <c r="CG296" s="7"/>
      <c r="CH296" s="7"/>
      <c r="CI296" s="7"/>
      <c r="CJ296" s="7"/>
      <c r="CK296" s="7"/>
      <c r="CL296" s="7"/>
      <c r="CM296" s="7"/>
      <c r="CN296" s="7"/>
      <c r="CO296" s="7"/>
      <c r="CP296" s="7"/>
      <c r="CQ296" s="7"/>
      <c r="CR296" s="7"/>
      <c r="CS296" s="7"/>
      <c r="CT296" s="7"/>
      <c r="CU296" s="7"/>
      <c r="CV296" s="7"/>
      <c r="CW296" s="7"/>
      <c r="CX296" s="7"/>
      <c r="CY296" s="7"/>
      <c r="CZ296" s="7"/>
      <c r="DA296" s="7"/>
    </row>
    <row r="297" spans="1:105"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c r="CE297" s="7"/>
      <c r="CF297" s="7"/>
      <c r="CG297" s="7"/>
      <c r="CH297" s="7"/>
      <c r="CI297" s="7"/>
      <c r="CJ297" s="7"/>
      <c r="CK297" s="7"/>
      <c r="CL297" s="7"/>
      <c r="CM297" s="7"/>
      <c r="CN297" s="7"/>
      <c r="CO297" s="7"/>
      <c r="CP297" s="7"/>
      <c r="CQ297" s="7"/>
      <c r="CR297" s="7"/>
      <c r="CS297" s="7"/>
      <c r="CT297" s="7"/>
      <c r="CU297" s="7"/>
      <c r="CV297" s="7"/>
      <c r="CW297" s="7"/>
      <c r="CX297" s="7"/>
      <c r="CY297" s="7"/>
      <c r="CZ297" s="7"/>
      <c r="DA297" s="7"/>
    </row>
    <row r="298" spans="1:105"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c r="CL298" s="7"/>
      <c r="CM298" s="7"/>
      <c r="CN298" s="7"/>
      <c r="CO298" s="7"/>
      <c r="CP298" s="7"/>
      <c r="CQ298" s="7"/>
      <c r="CR298" s="7"/>
      <c r="CS298" s="7"/>
      <c r="CT298" s="7"/>
      <c r="CU298" s="7"/>
      <c r="CV298" s="7"/>
      <c r="CW298" s="7"/>
      <c r="CX298" s="7"/>
      <c r="CY298" s="7"/>
      <c r="CZ298" s="7"/>
      <c r="DA298" s="7"/>
    </row>
    <row r="299" spans="1:105"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c r="CC299" s="7"/>
      <c r="CD299" s="7"/>
      <c r="CE299" s="7"/>
      <c r="CF299" s="7"/>
      <c r="CG299" s="7"/>
      <c r="CH299" s="7"/>
      <c r="CI299" s="7"/>
      <c r="CJ299" s="7"/>
      <c r="CK299" s="7"/>
      <c r="CL299" s="7"/>
      <c r="CM299" s="7"/>
      <c r="CN299" s="7"/>
      <c r="CO299" s="7"/>
      <c r="CP299" s="7"/>
      <c r="CQ299" s="7"/>
      <c r="CR299" s="7"/>
      <c r="CS299" s="7"/>
      <c r="CT299" s="7"/>
      <c r="CU299" s="7"/>
      <c r="CV299" s="7"/>
      <c r="CW299" s="7"/>
      <c r="CX299" s="7"/>
      <c r="CY299" s="7"/>
      <c r="CZ299" s="7"/>
      <c r="DA299" s="7"/>
    </row>
    <row r="300" spans="1:105"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c r="CC300" s="7"/>
      <c r="CD300" s="7"/>
      <c r="CE300" s="7"/>
      <c r="CF300" s="7"/>
      <c r="CG300" s="7"/>
      <c r="CH300" s="7"/>
      <c r="CI300" s="7"/>
      <c r="CJ300" s="7"/>
      <c r="CK300" s="7"/>
      <c r="CL300" s="7"/>
      <c r="CM300" s="7"/>
      <c r="CN300" s="7"/>
      <c r="CO300" s="7"/>
      <c r="CP300" s="7"/>
      <c r="CQ300" s="7"/>
      <c r="CR300" s="7"/>
      <c r="CS300" s="7"/>
      <c r="CT300" s="7"/>
      <c r="CU300" s="7"/>
      <c r="CV300" s="7"/>
      <c r="CW300" s="7"/>
      <c r="CX300" s="7"/>
      <c r="CY300" s="7"/>
      <c r="CZ300" s="7"/>
      <c r="DA300" s="7"/>
    </row>
    <row r="301" spans="1:105"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c r="CO301" s="7"/>
      <c r="CP301" s="7"/>
      <c r="CQ301" s="7"/>
      <c r="CR301" s="7"/>
      <c r="CS301" s="7"/>
      <c r="CT301" s="7"/>
      <c r="CU301" s="7"/>
      <c r="CV301" s="7"/>
      <c r="CW301" s="7"/>
      <c r="CX301" s="7"/>
      <c r="CY301" s="7"/>
      <c r="CZ301" s="7"/>
      <c r="DA301" s="7"/>
    </row>
    <row r="302" spans="1:105"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c r="CC302" s="7"/>
      <c r="CD302" s="7"/>
      <c r="CE302" s="7"/>
      <c r="CF302" s="7"/>
      <c r="CG302" s="7"/>
      <c r="CH302" s="7"/>
      <c r="CI302" s="7"/>
      <c r="CJ302" s="7"/>
      <c r="CK302" s="7"/>
      <c r="CL302" s="7"/>
      <c r="CM302" s="7"/>
      <c r="CN302" s="7"/>
      <c r="CO302" s="7"/>
      <c r="CP302" s="7"/>
      <c r="CQ302" s="7"/>
      <c r="CR302" s="7"/>
      <c r="CS302" s="7"/>
      <c r="CT302" s="7"/>
      <c r="CU302" s="7"/>
      <c r="CV302" s="7"/>
      <c r="CW302" s="7"/>
      <c r="CX302" s="7"/>
      <c r="CY302" s="7"/>
      <c r="CZ302" s="7"/>
      <c r="DA302" s="7"/>
    </row>
    <row r="303" spans="1:105"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7"/>
      <c r="CH303" s="7"/>
      <c r="CI303" s="7"/>
      <c r="CJ303" s="7"/>
      <c r="CK303" s="7"/>
      <c r="CL303" s="7"/>
      <c r="CM303" s="7"/>
      <c r="CN303" s="7"/>
      <c r="CO303" s="7"/>
      <c r="CP303" s="7"/>
      <c r="CQ303" s="7"/>
      <c r="CR303" s="7"/>
      <c r="CS303" s="7"/>
      <c r="CT303" s="7"/>
      <c r="CU303" s="7"/>
      <c r="CV303" s="7"/>
      <c r="CW303" s="7"/>
      <c r="CX303" s="7"/>
      <c r="CY303" s="7"/>
      <c r="CZ303" s="7"/>
      <c r="DA303" s="7"/>
    </row>
    <row r="304" spans="1:105"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c r="CC304" s="7"/>
      <c r="CD304" s="7"/>
      <c r="CE304" s="7"/>
      <c r="CF304" s="7"/>
      <c r="CG304" s="7"/>
      <c r="CH304" s="7"/>
      <c r="CI304" s="7"/>
      <c r="CJ304" s="7"/>
      <c r="CK304" s="7"/>
      <c r="CL304" s="7"/>
      <c r="CM304" s="7"/>
      <c r="CN304" s="7"/>
      <c r="CO304" s="7"/>
      <c r="CP304" s="7"/>
      <c r="CQ304" s="7"/>
      <c r="CR304" s="7"/>
      <c r="CS304" s="7"/>
      <c r="CT304" s="7"/>
      <c r="CU304" s="7"/>
      <c r="CV304" s="7"/>
      <c r="CW304" s="7"/>
      <c r="CX304" s="7"/>
      <c r="CY304" s="7"/>
      <c r="CZ304" s="7"/>
      <c r="DA304" s="7"/>
    </row>
    <row r="305" spans="1:105"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c r="CC305" s="7"/>
      <c r="CD305" s="7"/>
      <c r="CE305" s="7"/>
      <c r="CF305" s="7"/>
      <c r="CG305" s="7"/>
      <c r="CH305" s="7"/>
      <c r="CI305" s="7"/>
      <c r="CJ305" s="7"/>
      <c r="CK305" s="7"/>
      <c r="CL305" s="7"/>
      <c r="CM305" s="7"/>
      <c r="CN305" s="7"/>
      <c r="CO305" s="7"/>
      <c r="CP305" s="7"/>
      <c r="CQ305" s="7"/>
      <c r="CR305" s="7"/>
      <c r="CS305" s="7"/>
      <c r="CT305" s="7"/>
      <c r="CU305" s="7"/>
      <c r="CV305" s="7"/>
      <c r="CW305" s="7"/>
      <c r="CX305" s="7"/>
      <c r="CY305" s="7"/>
      <c r="CZ305" s="7"/>
      <c r="DA305" s="7"/>
    </row>
    <row r="306" spans="1:105"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c r="CC306" s="7"/>
      <c r="CD306" s="7"/>
      <c r="CE306" s="7"/>
      <c r="CF306" s="7"/>
      <c r="CG306" s="7"/>
      <c r="CH306" s="7"/>
      <c r="CI306" s="7"/>
      <c r="CJ306" s="7"/>
      <c r="CK306" s="7"/>
      <c r="CL306" s="7"/>
      <c r="CM306" s="7"/>
      <c r="CN306" s="7"/>
      <c r="CO306" s="7"/>
      <c r="CP306" s="7"/>
      <c r="CQ306" s="7"/>
      <c r="CR306" s="7"/>
      <c r="CS306" s="7"/>
      <c r="CT306" s="7"/>
      <c r="CU306" s="7"/>
      <c r="CV306" s="7"/>
      <c r="CW306" s="7"/>
      <c r="CX306" s="7"/>
      <c r="CY306" s="7"/>
      <c r="CZ306" s="7"/>
      <c r="DA306" s="7"/>
    </row>
    <row r="307" spans="1:105"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c r="CC307" s="7"/>
      <c r="CD307" s="7"/>
      <c r="CE307" s="7"/>
      <c r="CF307" s="7"/>
      <c r="CG307" s="7"/>
      <c r="CH307" s="7"/>
      <c r="CI307" s="7"/>
      <c r="CJ307" s="7"/>
      <c r="CK307" s="7"/>
      <c r="CL307" s="7"/>
      <c r="CM307" s="7"/>
      <c r="CN307" s="7"/>
      <c r="CO307" s="7"/>
      <c r="CP307" s="7"/>
      <c r="CQ307" s="7"/>
      <c r="CR307" s="7"/>
      <c r="CS307" s="7"/>
      <c r="CT307" s="7"/>
      <c r="CU307" s="7"/>
      <c r="CV307" s="7"/>
      <c r="CW307" s="7"/>
      <c r="CX307" s="7"/>
      <c r="CY307" s="7"/>
      <c r="CZ307" s="7"/>
      <c r="DA307" s="7"/>
    </row>
    <row r="308" spans="1:105"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c r="CC308" s="7"/>
      <c r="CD308" s="7"/>
      <c r="CE308" s="7"/>
      <c r="CF308" s="7"/>
      <c r="CG308" s="7"/>
      <c r="CH308" s="7"/>
      <c r="CI308" s="7"/>
      <c r="CJ308" s="7"/>
      <c r="CK308" s="7"/>
      <c r="CL308" s="7"/>
      <c r="CM308" s="7"/>
      <c r="CN308" s="7"/>
      <c r="CO308" s="7"/>
      <c r="CP308" s="7"/>
      <c r="CQ308" s="7"/>
      <c r="CR308" s="7"/>
      <c r="CS308" s="7"/>
      <c r="CT308" s="7"/>
      <c r="CU308" s="7"/>
      <c r="CV308" s="7"/>
      <c r="CW308" s="7"/>
      <c r="CX308" s="7"/>
      <c r="CY308" s="7"/>
      <c r="CZ308" s="7"/>
      <c r="DA308" s="7"/>
    </row>
    <row r="309" spans="1:105"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c r="CC309" s="7"/>
      <c r="CD309" s="7"/>
      <c r="CE309" s="7"/>
      <c r="CF309" s="7"/>
      <c r="CG309" s="7"/>
      <c r="CH309" s="7"/>
      <c r="CI309" s="7"/>
      <c r="CJ309" s="7"/>
      <c r="CK309" s="7"/>
      <c r="CL309" s="7"/>
      <c r="CM309" s="7"/>
      <c r="CN309" s="7"/>
      <c r="CO309" s="7"/>
      <c r="CP309" s="7"/>
      <c r="CQ309" s="7"/>
      <c r="CR309" s="7"/>
      <c r="CS309" s="7"/>
      <c r="CT309" s="7"/>
      <c r="CU309" s="7"/>
      <c r="CV309" s="7"/>
      <c r="CW309" s="7"/>
      <c r="CX309" s="7"/>
      <c r="CY309" s="7"/>
      <c r="CZ309" s="7"/>
      <c r="DA309" s="7"/>
    </row>
    <row r="310" spans="1:105"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c r="CC310" s="7"/>
      <c r="CD310" s="7"/>
      <c r="CE310" s="7"/>
      <c r="CF310" s="7"/>
      <c r="CG310" s="7"/>
      <c r="CH310" s="7"/>
      <c r="CI310" s="7"/>
      <c r="CJ310" s="7"/>
      <c r="CK310" s="7"/>
      <c r="CL310" s="7"/>
      <c r="CM310" s="7"/>
      <c r="CN310" s="7"/>
      <c r="CO310" s="7"/>
      <c r="CP310" s="7"/>
      <c r="CQ310" s="7"/>
      <c r="CR310" s="7"/>
      <c r="CS310" s="7"/>
      <c r="CT310" s="7"/>
      <c r="CU310" s="7"/>
      <c r="CV310" s="7"/>
      <c r="CW310" s="7"/>
      <c r="CX310" s="7"/>
      <c r="CY310" s="7"/>
      <c r="CZ310" s="7"/>
      <c r="DA310" s="7"/>
    </row>
    <row r="311" spans="1:105"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c r="CO311" s="7"/>
      <c r="CP311" s="7"/>
      <c r="CQ311" s="7"/>
      <c r="CR311" s="7"/>
      <c r="CS311" s="7"/>
      <c r="CT311" s="7"/>
      <c r="CU311" s="7"/>
      <c r="CV311" s="7"/>
      <c r="CW311" s="7"/>
      <c r="CX311" s="7"/>
      <c r="CY311" s="7"/>
      <c r="CZ311" s="7"/>
      <c r="DA311" s="7"/>
    </row>
    <row r="312" spans="1:105"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c r="CC312" s="7"/>
      <c r="CD312" s="7"/>
      <c r="CE312" s="7"/>
      <c r="CF312" s="7"/>
      <c r="CG312" s="7"/>
      <c r="CH312" s="7"/>
      <c r="CI312" s="7"/>
      <c r="CJ312" s="7"/>
      <c r="CK312" s="7"/>
      <c r="CL312" s="7"/>
      <c r="CM312" s="7"/>
      <c r="CN312" s="7"/>
      <c r="CO312" s="7"/>
      <c r="CP312" s="7"/>
      <c r="CQ312" s="7"/>
      <c r="CR312" s="7"/>
      <c r="CS312" s="7"/>
      <c r="CT312" s="7"/>
      <c r="CU312" s="7"/>
      <c r="CV312" s="7"/>
      <c r="CW312" s="7"/>
      <c r="CX312" s="7"/>
      <c r="CY312" s="7"/>
      <c r="CZ312" s="7"/>
      <c r="DA312" s="7"/>
    </row>
    <row r="313" spans="1:105"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c r="CL313" s="7"/>
      <c r="CM313" s="7"/>
      <c r="CN313" s="7"/>
      <c r="CO313" s="7"/>
      <c r="CP313" s="7"/>
      <c r="CQ313" s="7"/>
      <c r="CR313" s="7"/>
      <c r="CS313" s="7"/>
      <c r="CT313" s="7"/>
      <c r="CU313" s="7"/>
      <c r="CV313" s="7"/>
      <c r="CW313" s="7"/>
      <c r="CX313" s="7"/>
      <c r="CY313" s="7"/>
      <c r="CZ313" s="7"/>
      <c r="DA313" s="7"/>
    </row>
    <row r="314" spans="1:105"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c r="CL314" s="7"/>
      <c r="CM314" s="7"/>
      <c r="CN314" s="7"/>
      <c r="CO314" s="7"/>
      <c r="CP314" s="7"/>
      <c r="CQ314" s="7"/>
      <c r="CR314" s="7"/>
      <c r="CS314" s="7"/>
      <c r="CT314" s="7"/>
      <c r="CU314" s="7"/>
      <c r="CV314" s="7"/>
      <c r="CW314" s="7"/>
      <c r="CX314" s="7"/>
      <c r="CY314" s="7"/>
      <c r="CZ314" s="7"/>
      <c r="DA314" s="7"/>
    </row>
    <row r="315" spans="1:105"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7"/>
      <c r="CH315" s="7"/>
      <c r="CI315" s="7"/>
      <c r="CJ315" s="7"/>
      <c r="CK315" s="7"/>
      <c r="CL315" s="7"/>
      <c r="CM315" s="7"/>
      <c r="CN315" s="7"/>
      <c r="CO315" s="7"/>
      <c r="CP315" s="7"/>
      <c r="CQ315" s="7"/>
      <c r="CR315" s="7"/>
      <c r="CS315" s="7"/>
      <c r="CT315" s="7"/>
      <c r="CU315" s="7"/>
      <c r="CV315" s="7"/>
      <c r="CW315" s="7"/>
      <c r="CX315" s="7"/>
      <c r="CY315" s="7"/>
      <c r="CZ315" s="7"/>
      <c r="DA315" s="7"/>
    </row>
    <row r="316" spans="1:105"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c r="CC316" s="7"/>
      <c r="CD316" s="7"/>
      <c r="CE316" s="7"/>
      <c r="CF316" s="7"/>
      <c r="CG316" s="7"/>
      <c r="CH316" s="7"/>
      <c r="CI316" s="7"/>
      <c r="CJ316" s="7"/>
      <c r="CK316" s="7"/>
      <c r="CL316" s="7"/>
      <c r="CM316" s="7"/>
      <c r="CN316" s="7"/>
      <c r="CO316" s="7"/>
      <c r="CP316" s="7"/>
      <c r="CQ316" s="7"/>
      <c r="CR316" s="7"/>
      <c r="CS316" s="7"/>
      <c r="CT316" s="7"/>
      <c r="CU316" s="7"/>
      <c r="CV316" s="7"/>
      <c r="CW316" s="7"/>
      <c r="CX316" s="7"/>
      <c r="CY316" s="7"/>
      <c r="CZ316" s="7"/>
      <c r="DA316" s="7"/>
    </row>
    <row r="317" spans="1:105"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c r="CC317" s="7"/>
      <c r="CD317" s="7"/>
      <c r="CE317" s="7"/>
      <c r="CF317" s="7"/>
      <c r="CG317" s="7"/>
      <c r="CH317" s="7"/>
      <c r="CI317" s="7"/>
      <c r="CJ317" s="7"/>
      <c r="CK317" s="7"/>
      <c r="CL317" s="7"/>
      <c r="CM317" s="7"/>
      <c r="CN317" s="7"/>
      <c r="CO317" s="7"/>
      <c r="CP317" s="7"/>
      <c r="CQ317" s="7"/>
      <c r="CR317" s="7"/>
      <c r="CS317" s="7"/>
      <c r="CT317" s="7"/>
      <c r="CU317" s="7"/>
      <c r="CV317" s="7"/>
      <c r="CW317" s="7"/>
      <c r="CX317" s="7"/>
      <c r="CY317" s="7"/>
      <c r="CZ317" s="7"/>
      <c r="DA317" s="7"/>
    </row>
    <row r="318" spans="1:105"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c r="CC318" s="7"/>
      <c r="CD318" s="7"/>
      <c r="CE318" s="7"/>
      <c r="CF318" s="7"/>
      <c r="CG318" s="7"/>
      <c r="CH318" s="7"/>
      <c r="CI318" s="7"/>
      <c r="CJ318" s="7"/>
      <c r="CK318" s="7"/>
      <c r="CL318" s="7"/>
      <c r="CM318" s="7"/>
      <c r="CN318" s="7"/>
      <c r="CO318" s="7"/>
      <c r="CP318" s="7"/>
      <c r="CQ318" s="7"/>
      <c r="CR318" s="7"/>
      <c r="CS318" s="7"/>
      <c r="CT318" s="7"/>
      <c r="CU318" s="7"/>
      <c r="CV318" s="7"/>
      <c r="CW318" s="7"/>
      <c r="CX318" s="7"/>
      <c r="CY318" s="7"/>
      <c r="CZ318" s="7"/>
      <c r="DA318" s="7"/>
    </row>
    <row r="319" spans="1:105"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c r="CC319" s="7"/>
      <c r="CD319" s="7"/>
      <c r="CE319" s="7"/>
      <c r="CF319" s="7"/>
      <c r="CG319" s="7"/>
      <c r="CH319" s="7"/>
      <c r="CI319" s="7"/>
      <c r="CJ319" s="7"/>
      <c r="CK319" s="7"/>
      <c r="CL319" s="7"/>
      <c r="CM319" s="7"/>
      <c r="CN319" s="7"/>
      <c r="CO319" s="7"/>
      <c r="CP319" s="7"/>
      <c r="CQ319" s="7"/>
      <c r="CR319" s="7"/>
      <c r="CS319" s="7"/>
      <c r="CT319" s="7"/>
      <c r="CU319" s="7"/>
      <c r="CV319" s="7"/>
      <c r="CW319" s="7"/>
      <c r="CX319" s="7"/>
      <c r="CY319" s="7"/>
      <c r="CZ319" s="7"/>
      <c r="DA319" s="7"/>
    </row>
    <row r="320" spans="1:105"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7"/>
      <c r="CF320" s="7"/>
      <c r="CG320" s="7"/>
      <c r="CH320" s="7"/>
      <c r="CI320" s="7"/>
      <c r="CJ320" s="7"/>
      <c r="CK320" s="7"/>
      <c r="CL320" s="7"/>
      <c r="CM320" s="7"/>
      <c r="CN320" s="7"/>
      <c r="CO320" s="7"/>
      <c r="CP320" s="7"/>
      <c r="CQ320" s="7"/>
      <c r="CR320" s="7"/>
      <c r="CS320" s="7"/>
      <c r="CT320" s="7"/>
      <c r="CU320" s="7"/>
      <c r="CV320" s="7"/>
      <c r="CW320" s="7"/>
      <c r="CX320" s="7"/>
      <c r="CY320" s="7"/>
      <c r="CZ320" s="7"/>
      <c r="DA320" s="7"/>
    </row>
    <row r="321" spans="1:105"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c r="CL321" s="7"/>
      <c r="CM321" s="7"/>
      <c r="CN321" s="7"/>
      <c r="CO321" s="7"/>
      <c r="CP321" s="7"/>
      <c r="CQ321" s="7"/>
      <c r="CR321" s="7"/>
      <c r="CS321" s="7"/>
      <c r="CT321" s="7"/>
      <c r="CU321" s="7"/>
      <c r="CV321" s="7"/>
      <c r="CW321" s="7"/>
      <c r="CX321" s="7"/>
      <c r="CY321" s="7"/>
      <c r="CZ321" s="7"/>
      <c r="DA321" s="7"/>
    </row>
    <row r="322" spans="1:105"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7"/>
      <c r="CF322" s="7"/>
      <c r="CG322" s="7"/>
      <c r="CH322" s="7"/>
      <c r="CI322" s="7"/>
      <c r="CJ322" s="7"/>
      <c r="CK322" s="7"/>
      <c r="CL322" s="7"/>
      <c r="CM322" s="7"/>
      <c r="CN322" s="7"/>
      <c r="CO322" s="7"/>
      <c r="CP322" s="7"/>
      <c r="CQ322" s="7"/>
      <c r="CR322" s="7"/>
      <c r="CS322" s="7"/>
      <c r="CT322" s="7"/>
      <c r="CU322" s="7"/>
      <c r="CV322" s="7"/>
      <c r="CW322" s="7"/>
      <c r="CX322" s="7"/>
      <c r="CY322" s="7"/>
      <c r="CZ322" s="7"/>
      <c r="DA322" s="7"/>
    </row>
    <row r="323" spans="1:105"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c r="CC323" s="7"/>
      <c r="CD323" s="7"/>
      <c r="CE323" s="7"/>
      <c r="CF323" s="7"/>
      <c r="CG323" s="7"/>
      <c r="CH323" s="7"/>
      <c r="CI323" s="7"/>
      <c r="CJ323" s="7"/>
      <c r="CK323" s="7"/>
      <c r="CL323" s="7"/>
      <c r="CM323" s="7"/>
      <c r="CN323" s="7"/>
      <c r="CO323" s="7"/>
      <c r="CP323" s="7"/>
      <c r="CQ323" s="7"/>
      <c r="CR323" s="7"/>
      <c r="CS323" s="7"/>
      <c r="CT323" s="7"/>
      <c r="CU323" s="7"/>
      <c r="CV323" s="7"/>
      <c r="CW323" s="7"/>
      <c r="CX323" s="7"/>
      <c r="CY323" s="7"/>
      <c r="CZ323" s="7"/>
      <c r="DA323" s="7"/>
    </row>
    <row r="324" spans="1:105"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c r="CC324" s="7"/>
      <c r="CD324" s="7"/>
      <c r="CE324" s="7"/>
      <c r="CF324" s="7"/>
      <c r="CG324" s="7"/>
      <c r="CH324" s="7"/>
      <c r="CI324" s="7"/>
      <c r="CJ324" s="7"/>
      <c r="CK324" s="7"/>
      <c r="CL324" s="7"/>
      <c r="CM324" s="7"/>
      <c r="CN324" s="7"/>
      <c r="CO324" s="7"/>
      <c r="CP324" s="7"/>
      <c r="CQ324" s="7"/>
      <c r="CR324" s="7"/>
      <c r="CS324" s="7"/>
      <c r="CT324" s="7"/>
      <c r="CU324" s="7"/>
      <c r="CV324" s="7"/>
      <c r="CW324" s="7"/>
      <c r="CX324" s="7"/>
      <c r="CY324" s="7"/>
      <c r="CZ324" s="7"/>
      <c r="DA324" s="7"/>
    </row>
    <row r="325" spans="1:105"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7"/>
      <c r="CH325" s="7"/>
      <c r="CI325" s="7"/>
      <c r="CJ325" s="7"/>
      <c r="CK325" s="7"/>
      <c r="CL325" s="7"/>
      <c r="CM325" s="7"/>
      <c r="CN325" s="7"/>
      <c r="CO325" s="7"/>
      <c r="CP325" s="7"/>
      <c r="CQ325" s="7"/>
      <c r="CR325" s="7"/>
      <c r="CS325" s="7"/>
      <c r="CT325" s="7"/>
      <c r="CU325" s="7"/>
      <c r="CV325" s="7"/>
      <c r="CW325" s="7"/>
      <c r="CX325" s="7"/>
      <c r="CY325" s="7"/>
      <c r="CZ325" s="7"/>
      <c r="DA325" s="7"/>
    </row>
    <row r="326" spans="1:105"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c r="CC326" s="7"/>
      <c r="CD326" s="7"/>
      <c r="CE326" s="7"/>
      <c r="CF326" s="7"/>
      <c r="CG326" s="7"/>
      <c r="CH326" s="7"/>
      <c r="CI326" s="7"/>
      <c r="CJ326" s="7"/>
      <c r="CK326" s="7"/>
      <c r="CL326" s="7"/>
      <c r="CM326" s="7"/>
      <c r="CN326" s="7"/>
      <c r="CO326" s="7"/>
      <c r="CP326" s="7"/>
      <c r="CQ326" s="7"/>
      <c r="CR326" s="7"/>
      <c r="CS326" s="7"/>
      <c r="CT326" s="7"/>
      <c r="CU326" s="7"/>
      <c r="CV326" s="7"/>
      <c r="CW326" s="7"/>
      <c r="CX326" s="7"/>
      <c r="CY326" s="7"/>
      <c r="CZ326" s="7"/>
      <c r="DA326" s="7"/>
    </row>
    <row r="327" spans="1:105"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7"/>
      <c r="CH327" s="7"/>
      <c r="CI327" s="7"/>
      <c r="CJ327" s="7"/>
      <c r="CK327" s="7"/>
      <c r="CL327" s="7"/>
      <c r="CM327" s="7"/>
      <c r="CN327" s="7"/>
      <c r="CO327" s="7"/>
      <c r="CP327" s="7"/>
      <c r="CQ327" s="7"/>
      <c r="CR327" s="7"/>
      <c r="CS327" s="7"/>
      <c r="CT327" s="7"/>
      <c r="CU327" s="7"/>
      <c r="CV327" s="7"/>
      <c r="CW327" s="7"/>
      <c r="CX327" s="7"/>
      <c r="CY327" s="7"/>
      <c r="CZ327" s="7"/>
      <c r="DA327" s="7"/>
    </row>
    <row r="328" spans="1:105"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c r="CC328" s="7"/>
      <c r="CD328" s="7"/>
      <c r="CE328" s="7"/>
      <c r="CF328" s="7"/>
      <c r="CG328" s="7"/>
      <c r="CH328" s="7"/>
      <c r="CI328" s="7"/>
      <c r="CJ328" s="7"/>
      <c r="CK328" s="7"/>
      <c r="CL328" s="7"/>
      <c r="CM328" s="7"/>
      <c r="CN328" s="7"/>
      <c r="CO328" s="7"/>
      <c r="CP328" s="7"/>
      <c r="CQ328" s="7"/>
      <c r="CR328" s="7"/>
      <c r="CS328" s="7"/>
      <c r="CT328" s="7"/>
      <c r="CU328" s="7"/>
      <c r="CV328" s="7"/>
      <c r="CW328" s="7"/>
      <c r="CX328" s="7"/>
      <c r="CY328" s="7"/>
      <c r="CZ328" s="7"/>
      <c r="DA328" s="7"/>
    </row>
    <row r="329" spans="1:105"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c r="CL329" s="7"/>
      <c r="CM329" s="7"/>
      <c r="CN329" s="7"/>
      <c r="CO329" s="7"/>
      <c r="CP329" s="7"/>
      <c r="CQ329" s="7"/>
      <c r="CR329" s="7"/>
      <c r="CS329" s="7"/>
      <c r="CT329" s="7"/>
      <c r="CU329" s="7"/>
      <c r="CV329" s="7"/>
      <c r="CW329" s="7"/>
      <c r="CX329" s="7"/>
      <c r="CY329" s="7"/>
      <c r="CZ329" s="7"/>
      <c r="DA329" s="7"/>
    </row>
    <row r="330" spans="1:105"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c r="CC330" s="7"/>
      <c r="CD330" s="7"/>
      <c r="CE330" s="7"/>
      <c r="CF330" s="7"/>
      <c r="CG330" s="7"/>
      <c r="CH330" s="7"/>
      <c r="CI330" s="7"/>
      <c r="CJ330" s="7"/>
      <c r="CK330" s="7"/>
      <c r="CL330" s="7"/>
      <c r="CM330" s="7"/>
      <c r="CN330" s="7"/>
      <c r="CO330" s="7"/>
      <c r="CP330" s="7"/>
      <c r="CQ330" s="7"/>
      <c r="CR330" s="7"/>
      <c r="CS330" s="7"/>
      <c r="CT330" s="7"/>
      <c r="CU330" s="7"/>
      <c r="CV330" s="7"/>
      <c r="CW330" s="7"/>
      <c r="CX330" s="7"/>
      <c r="CY330" s="7"/>
      <c r="CZ330" s="7"/>
      <c r="DA330" s="7"/>
    </row>
    <row r="331" spans="1:105"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7"/>
      <c r="CH331" s="7"/>
      <c r="CI331" s="7"/>
      <c r="CJ331" s="7"/>
      <c r="CK331" s="7"/>
      <c r="CL331" s="7"/>
      <c r="CM331" s="7"/>
      <c r="CN331" s="7"/>
      <c r="CO331" s="7"/>
      <c r="CP331" s="7"/>
      <c r="CQ331" s="7"/>
      <c r="CR331" s="7"/>
      <c r="CS331" s="7"/>
      <c r="CT331" s="7"/>
      <c r="CU331" s="7"/>
      <c r="CV331" s="7"/>
      <c r="CW331" s="7"/>
      <c r="CX331" s="7"/>
      <c r="CY331" s="7"/>
      <c r="CZ331" s="7"/>
      <c r="DA331" s="7"/>
    </row>
    <row r="332" spans="1:105"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c r="CC332" s="7"/>
      <c r="CD332" s="7"/>
      <c r="CE332" s="7"/>
      <c r="CF332" s="7"/>
      <c r="CG332" s="7"/>
      <c r="CH332" s="7"/>
      <c r="CI332" s="7"/>
      <c r="CJ332" s="7"/>
      <c r="CK332" s="7"/>
      <c r="CL332" s="7"/>
      <c r="CM332" s="7"/>
      <c r="CN332" s="7"/>
      <c r="CO332" s="7"/>
      <c r="CP332" s="7"/>
      <c r="CQ332" s="7"/>
      <c r="CR332" s="7"/>
      <c r="CS332" s="7"/>
      <c r="CT332" s="7"/>
      <c r="CU332" s="7"/>
      <c r="CV332" s="7"/>
      <c r="CW332" s="7"/>
      <c r="CX332" s="7"/>
      <c r="CY332" s="7"/>
      <c r="CZ332" s="7"/>
      <c r="DA332" s="7"/>
    </row>
    <row r="333" spans="1:105"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7"/>
      <c r="CS333" s="7"/>
      <c r="CT333" s="7"/>
      <c r="CU333" s="7"/>
      <c r="CV333" s="7"/>
      <c r="CW333" s="7"/>
      <c r="CX333" s="7"/>
      <c r="CY333" s="7"/>
      <c r="CZ333" s="7"/>
      <c r="DA333" s="7"/>
    </row>
    <row r="334" spans="1:105"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c r="CC334" s="7"/>
      <c r="CD334" s="7"/>
      <c r="CE334" s="7"/>
      <c r="CF334" s="7"/>
      <c r="CG334" s="7"/>
      <c r="CH334" s="7"/>
      <c r="CI334" s="7"/>
      <c r="CJ334" s="7"/>
      <c r="CK334" s="7"/>
      <c r="CL334" s="7"/>
      <c r="CM334" s="7"/>
      <c r="CN334" s="7"/>
      <c r="CO334" s="7"/>
      <c r="CP334" s="7"/>
      <c r="CQ334" s="7"/>
      <c r="CR334" s="7"/>
      <c r="CS334" s="7"/>
      <c r="CT334" s="7"/>
      <c r="CU334" s="7"/>
      <c r="CV334" s="7"/>
      <c r="CW334" s="7"/>
      <c r="CX334" s="7"/>
      <c r="CY334" s="7"/>
      <c r="CZ334" s="7"/>
      <c r="DA334" s="7"/>
    </row>
    <row r="335" spans="1:105"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c r="CL335" s="7"/>
      <c r="CM335" s="7"/>
      <c r="CN335" s="7"/>
      <c r="CO335" s="7"/>
      <c r="CP335" s="7"/>
      <c r="CQ335" s="7"/>
      <c r="CR335" s="7"/>
      <c r="CS335" s="7"/>
      <c r="CT335" s="7"/>
      <c r="CU335" s="7"/>
      <c r="CV335" s="7"/>
      <c r="CW335" s="7"/>
      <c r="CX335" s="7"/>
      <c r="CY335" s="7"/>
      <c r="CZ335" s="7"/>
      <c r="DA335" s="7"/>
    </row>
    <row r="336" spans="1:105"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c r="CJ336" s="7"/>
      <c r="CK336" s="7"/>
      <c r="CL336" s="7"/>
      <c r="CM336" s="7"/>
      <c r="CN336" s="7"/>
      <c r="CO336" s="7"/>
      <c r="CP336" s="7"/>
      <c r="CQ336" s="7"/>
      <c r="CR336" s="7"/>
      <c r="CS336" s="7"/>
      <c r="CT336" s="7"/>
      <c r="CU336" s="7"/>
      <c r="CV336" s="7"/>
      <c r="CW336" s="7"/>
      <c r="CX336" s="7"/>
      <c r="CY336" s="7"/>
      <c r="CZ336" s="7"/>
      <c r="DA336" s="7"/>
    </row>
    <row r="337" spans="1:105"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c r="CC337" s="7"/>
      <c r="CD337" s="7"/>
      <c r="CE337" s="7"/>
      <c r="CF337" s="7"/>
      <c r="CG337" s="7"/>
      <c r="CH337" s="7"/>
      <c r="CI337" s="7"/>
      <c r="CJ337" s="7"/>
      <c r="CK337" s="7"/>
      <c r="CL337" s="7"/>
      <c r="CM337" s="7"/>
      <c r="CN337" s="7"/>
      <c r="CO337" s="7"/>
      <c r="CP337" s="7"/>
      <c r="CQ337" s="7"/>
      <c r="CR337" s="7"/>
      <c r="CS337" s="7"/>
      <c r="CT337" s="7"/>
      <c r="CU337" s="7"/>
      <c r="CV337" s="7"/>
      <c r="CW337" s="7"/>
      <c r="CX337" s="7"/>
      <c r="CY337" s="7"/>
      <c r="CZ337" s="7"/>
      <c r="DA337" s="7"/>
    </row>
    <row r="338" spans="1:105"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c r="CC338" s="7"/>
      <c r="CD338" s="7"/>
      <c r="CE338" s="7"/>
      <c r="CF338" s="7"/>
      <c r="CG338" s="7"/>
      <c r="CH338" s="7"/>
      <c r="CI338" s="7"/>
      <c r="CJ338" s="7"/>
      <c r="CK338" s="7"/>
      <c r="CL338" s="7"/>
      <c r="CM338" s="7"/>
      <c r="CN338" s="7"/>
      <c r="CO338" s="7"/>
      <c r="CP338" s="7"/>
      <c r="CQ338" s="7"/>
      <c r="CR338" s="7"/>
      <c r="CS338" s="7"/>
      <c r="CT338" s="7"/>
      <c r="CU338" s="7"/>
      <c r="CV338" s="7"/>
      <c r="CW338" s="7"/>
      <c r="CX338" s="7"/>
      <c r="CY338" s="7"/>
      <c r="CZ338" s="7"/>
      <c r="DA338" s="7"/>
    </row>
    <row r="339" spans="1:105"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c r="CC339" s="7"/>
      <c r="CD339" s="7"/>
      <c r="CE339" s="7"/>
      <c r="CF339" s="7"/>
      <c r="CG339" s="7"/>
      <c r="CH339" s="7"/>
      <c r="CI339" s="7"/>
      <c r="CJ339" s="7"/>
      <c r="CK339" s="7"/>
      <c r="CL339" s="7"/>
      <c r="CM339" s="7"/>
      <c r="CN339" s="7"/>
      <c r="CO339" s="7"/>
      <c r="CP339" s="7"/>
      <c r="CQ339" s="7"/>
      <c r="CR339" s="7"/>
      <c r="CS339" s="7"/>
      <c r="CT339" s="7"/>
      <c r="CU339" s="7"/>
      <c r="CV339" s="7"/>
      <c r="CW339" s="7"/>
      <c r="CX339" s="7"/>
      <c r="CY339" s="7"/>
      <c r="CZ339" s="7"/>
      <c r="DA339" s="7"/>
    </row>
    <row r="340" spans="1:105"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c r="CC340" s="7"/>
      <c r="CD340" s="7"/>
      <c r="CE340" s="7"/>
      <c r="CF340" s="7"/>
      <c r="CG340" s="7"/>
      <c r="CH340" s="7"/>
      <c r="CI340" s="7"/>
      <c r="CJ340" s="7"/>
      <c r="CK340" s="7"/>
      <c r="CL340" s="7"/>
      <c r="CM340" s="7"/>
      <c r="CN340" s="7"/>
      <c r="CO340" s="7"/>
      <c r="CP340" s="7"/>
      <c r="CQ340" s="7"/>
      <c r="CR340" s="7"/>
      <c r="CS340" s="7"/>
      <c r="CT340" s="7"/>
      <c r="CU340" s="7"/>
      <c r="CV340" s="7"/>
      <c r="CW340" s="7"/>
      <c r="CX340" s="7"/>
      <c r="CY340" s="7"/>
      <c r="CZ340" s="7"/>
      <c r="DA340" s="7"/>
    </row>
    <row r="341" spans="1:105"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7"/>
      <c r="CH341" s="7"/>
      <c r="CI341" s="7"/>
      <c r="CJ341" s="7"/>
      <c r="CK341" s="7"/>
      <c r="CL341" s="7"/>
      <c r="CM341" s="7"/>
      <c r="CN341" s="7"/>
      <c r="CO341" s="7"/>
      <c r="CP341" s="7"/>
      <c r="CQ341" s="7"/>
      <c r="CR341" s="7"/>
      <c r="CS341" s="7"/>
      <c r="CT341" s="7"/>
      <c r="CU341" s="7"/>
      <c r="CV341" s="7"/>
      <c r="CW341" s="7"/>
      <c r="CX341" s="7"/>
      <c r="CY341" s="7"/>
      <c r="CZ341" s="7"/>
      <c r="DA341" s="7"/>
    </row>
    <row r="342" spans="1:105"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c r="CC342" s="7"/>
      <c r="CD342" s="7"/>
      <c r="CE342" s="7"/>
      <c r="CF342" s="7"/>
      <c r="CG342" s="7"/>
      <c r="CH342" s="7"/>
      <c r="CI342" s="7"/>
      <c r="CJ342" s="7"/>
      <c r="CK342" s="7"/>
      <c r="CL342" s="7"/>
      <c r="CM342" s="7"/>
      <c r="CN342" s="7"/>
      <c r="CO342" s="7"/>
      <c r="CP342" s="7"/>
      <c r="CQ342" s="7"/>
      <c r="CR342" s="7"/>
      <c r="CS342" s="7"/>
      <c r="CT342" s="7"/>
      <c r="CU342" s="7"/>
      <c r="CV342" s="7"/>
      <c r="CW342" s="7"/>
      <c r="CX342" s="7"/>
      <c r="CY342" s="7"/>
      <c r="CZ342" s="7"/>
      <c r="DA342" s="7"/>
    </row>
    <row r="343" spans="1:105"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c r="CL343" s="7"/>
      <c r="CM343" s="7"/>
      <c r="CN343" s="7"/>
      <c r="CO343" s="7"/>
      <c r="CP343" s="7"/>
      <c r="CQ343" s="7"/>
      <c r="CR343" s="7"/>
      <c r="CS343" s="7"/>
      <c r="CT343" s="7"/>
      <c r="CU343" s="7"/>
      <c r="CV343" s="7"/>
      <c r="CW343" s="7"/>
      <c r="CX343" s="7"/>
      <c r="CY343" s="7"/>
      <c r="CZ343" s="7"/>
      <c r="DA343" s="7"/>
    </row>
    <row r="344" spans="1:105"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c r="CC344" s="7"/>
      <c r="CD344" s="7"/>
      <c r="CE344" s="7"/>
      <c r="CF344" s="7"/>
      <c r="CG344" s="7"/>
      <c r="CH344" s="7"/>
      <c r="CI344" s="7"/>
      <c r="CJ344" s="7"/>
      <c r="CK344" s="7"/>
      <c r="CL344" s="7"/>
      <c r="CM344" s="7"/>
      <c r="CN344" s="7"/>
      <c r="CO344" s="7"/>
      <c r="CP344" s="7"/>
      <c r="CQ344" s="7"/>
      <c r="CR344" s="7"/>
      <c r="CS344" s="7"/>
      <c r="CT344" s="7"/>
      <c r="CU344" s="7"/>
      <c r="CV344" s="7"/>
      <c r="CW344" s="7"/>
      <c r="CX344" s="7"/>
      <c r="CY344" s="7"/>
      <c r="CZ344" s="7"/>
      <c r="DA344" s="7"/>
    </row>
    <row r="345" spans="1:105"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c r="CC345" s="7"/>
      <c r="CD345" s="7"/>
      <c r="CE345" s="7"/>
      <c r="CF345" s="7"/>
      <c r="CG345" s="7"/>
      <c r="CH345" s="7"/>
      <c r="CI345" s="7"/>
      <c r="CJ345" s="7"/>
      <c r="CK345" s="7"/>
      <c r="CL345" s="7"/>
      <c r="CM345" s="7"/>
      <c r="CN345" s="7"/>
      <c r="CO345" s="7"/>
      <c r="CP345" s="7"/>
      <c r="CQ345" s="7"/>
      <c r="CR345" s="7"/>
      <c r="CS345" s="7"/>
      <c r="CT345" s="7"/>
      <c r="CU345" s="7"/>
      <c r="CV345" s="7"/>
      <c r="CW345" s="7"/>
      <c r="CX345" s="7"/>
      <c r="CY345" s="7"/>
      <c r="CZ345" s="7"/>
      <c r="DA345" s="7"/>
    </row>
    <row r="346" spans="1:105"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c r="CC346" s="7"/>
      <c r="CD346" s="7"/>
      <c r="CE346" s="7"/>
      <c r="CF346" s="7"/>
      <c r="CG346" s="7"/>
      <c r="CH346" s="7"/>
      <c r="CI346" s="7"/>
      <c r="CJ346" s="7"/>
      <c r="CK346" s="7"/>
      <c r="CL346" s="7"/>
      <c r="CM346" s="7"/>
      <c r="CN346" s="7"/>
      <c r="CO346" s="7"/>
      <c r="CP346" s="7"/>
      <c r="CQ346" s="7"/>
      <c r="CR346" s="7"/>
      <c r="CS346" s="7"/>
      <c r="CT346" s="7"/>
      <c r="CU346" s="7"/>
      <c r="CV346" s="7"/>
      <c r="CW346" s="7"/>
      <c r="CX346" s="7"/>
      <c r="CY346" s="7"/>
      <c r="CZ346" s="7"/>
      <c r="DA346" s="7"/>
    </row>
    <row r="347" spans="1:105"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7"/>
      <c r="CH347" s="7"/>
      <c r="CI347" s="7"/>
      <c r="CJ347" s="7"/>
      <c r="CK347" s="7"/>
      <c r="CL347" s="7"/>
      <c r="CM347" s="7"/>
      <c r="CN347" s="7"/>
      <c r="CO347" s="7"/>
      <c r="CP347" s="7"/>
      <c r="CQ347" s="7"/>
      <c r="CR347" s="7"/>
      <c r="CS347" s="7"/>
      <c r="CT347" s="7"/>
      <c r="CU347" s="7"/>
      <c r="CV347" s="7"/>
      <c r="CW347" s="7"/>
      <c r="CX347" s="7"/>
      <c r="CY347" s="7"/>
      <c r="CZ347" s="7"/>
      <c r="DA347" s="7"/>
    </row>
    <row r="348" spans="1:105"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c r="CC348" s="7"/>
      <c r="CD348" s="7"/>
      <c r="CE348" s="7"/>
      <c r="CF348" s="7"/>
      <c r="CG348" s="7"/>
      <c r="CH348" s="7"/>
      <c r="CI348" s="7"/>
      <c r="CJ348" s="7"/>
      <c r="CK348" s="7"/>
      <c r="CL348" s="7"/>
      <c r="CM348" s="7"/>
      <c r="CN348" s="7"/>
      <c r="CO348" s="7"/>
      <c r="CP348" s="7"/>
      <c r="CQ348" s="7"/>
      <c r="CR348" s="7"/>
      <c r="CS348" s="7"/>
      <c r="CT348" s="7"/>
      <c r="CU348" s="7"/>
      <c r="CV348" s="7"/>
      <c r="CW348" s="7"/>
      <c r="CX348" s="7"/>
      <c r="CY348" s="7"/>
      <c r="CZ348" s="7"/>
      <c r="DA348" s="7"/>
    </row>
    <row r="349" spans="1:105"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c r="CC349" s="7"/>
      <c r="CD349" s="7"/>
      <c r="CE349" s="7"/>
      <c r="CF349" s="7"/>
      <c r="CG349" s="7"/>
      <c r="CH349" s="7"/>
      <c r="CI349" s="7"/>
      <c r="CJ349" s="7"/>
      <c r="CK349" s="7"/>
      <c r="CL349" s="7"/>
      <c r="CM349" s="7"/>
      <c r="CN349" s="7"/>
      <c r="CO349" s="7"/>
      <c r="CP349" s="7"/>
      <c r="CQ349" s="7"/>
      <c r="CR349" s="7"/>
      <c r="CS349" s="7"/>
      <c r="CT349" s="7"/>
      <c r="CU349" s="7"/>
      <c r="CV349" s="7"/>
      <c r="CW349" s="7"/>
      <c r="CX349" s="7"/>
      <c r="CY349" s="7"/>
      <c r="CZ349" s="7"/>
      <c r="DA349" s="7"/>
    </row>
    <row r="350" spans="1:105"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c r="CC350" s="7"/>
      <c r="CD350" s="7"/>
      <c r="CE350" s="7"/>
      <c r="CF350" s="7"/>
      <c r="CG350" s="7"/>
      <c r="CH350" s="7"/>
      <c r="CI350" s="7"/>
      <c r="CJ350" s="7"/>
      <c r="CK350" s="7"/>
      <c r="CL350" s="7"/>
      <c r="CM350" s="7"/>
      <c r="CN350" s="7"/>
      <c r="CO350" s="7"/>
      <c r="CP350" s="7"/>
      <c r="CQ350" s="7"/>
      <c r="CR350" s="7"/>
      <c r="CS350" s="7"/>
      <c r="CT350" s="7"/>
      <c r="CU350" s="7"/>
      <c r="CV350" s="7"/>
      <c r="CW350" s="7"/>
      <c r="CX350" s="7"/>
      <c r="CY350" s="7"/>
      <c r="CZ350" s="7"/>
      <c r="DA350" s="7"/>
    </row>
    <row r="351" spans="1:105"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7"/>
      <c r="CH351" s="7"/>
      <c r="CI351" s="7"/>
      <c r="CJ351" s="7"/>
      <c r="CK351" s="7"/>
      <c r="CL351" s="7"/>
      <c r="CM351" s="7"/>
      <c r="CN351" s="7"/>
      <c r="CO351" s="7"/>
      <c r="CP351" s="7"/>
      <c r="CQ351" s="7"/>
      <c r="CR351" s="7"/>
      <c r="CS351" s="7"/>
      <c r="CT351" s="7"/>
      <c r="CU351" s="7"/>
      <c r="CV351" s="7"/>
      <c r="CW351" s="7"/>
      <c r="CX351" s="7"/>
      <c r="CY351" s="7"/>
      <c r="CZ351" s="7"/>
      <c r="DA351" s="7"/>
    </row>
    <row r="352" spans="1:105"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c r="CC352" s="7"/>
      <c r="CD352" s="7"/>
      <c r="CE352" s="7"/>
      <c r="CF352" s="7"/>
      <c r="CG352" s="7"/>
      <c r="CH352" s="7"/>
      <c r="CI352" s="7"/>
      <c r="CJ352" s="7"/>
      <c r="CK352" s="7"/>
      <c r="CL352" s="7"/>
      <c r="CM352" s="7"/>
      <c r="CN352" s="7"/>
      <c r="CO352" s="7"/>
      <c r="CP352" s="7"/>
      <c r="CQ352" s="7"/>
      <c r="CR352" s="7"/>
      <c r="CS352" s="7"/>
      <c r="CT352" s="7"/>
      <c r="CU352" s="7"/>
      <c r="CV352" s="7"/>
      <c r="CW352" s="7"/>
      <c r="CX352" s="7"/>
      <c r="CY352" s="7"/>
      <c r="CZ352" s="7"/>
      <c r="DA352" s="7"/>
    </row>
    <row r="353" spans="1:105"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7"/>
      <c r="CH353" s="7"/>
      <c r="CI353" s="7"/>
      <c r="CJ353" s="7"/>
      <c r="CK353" s="7"/>
      <c r="CL353" s="7"/>
      <c r="CM353" s="7"/>
      <c r="CN353" s="7"/>
      <c r="CO353" s="7"/>
      <c r="CP353" s="7"/>
      <c r="CQ353" s="7"/>
      <c r="CR353" s="7"/>
      <c r="CS353" s="7"/>
      <c r="CT353" s="7"/>
      <c r="CU353" s="7"/>
      <c r="CV353" s="7"/>
      <c r="CW353" s="7"/>
      <c r="CX353" s="7"/>
      <c r="CY353" s="7"/>
      <c r="CZ353" s="7"/>
      <c r="DA353" s="7"/>
    </row>
    <row r="354" spans="1:105"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c r="CC354" s="7"/>
      <c r="CD354" s="7"/>
      <c r="CE354" s="7"/>
      <c r="CF354" s="7"/>
      <c r="CG354" s="7"/>
      <c r="CH354" s="7"/>
      <c r="CI354" s="7"/>
      <c r="CJ354" s="7"/>
      <c r="CK354" s="7"/>
      <c r="CL354" s="7"/>
      <c r="CM354" s="7"/>
      <c r="CN354" s="7"/>
      <c r="CO354" s="7"/>
      <c r="CP354" s="7"/>
      <c r="CQ354" s="7"/>
      <c r="CR354" s="7"/>
      <c r="CS354" s="7"/>
      <c r="CT354" s="7"/>
      <c r="CU354" s="7"/>
      <c r="CV354" s="7"/>
      <c r="CW354" s="7"/>
      <c r="CX354" s="7"/>
      <c r="CY354" s="7"/>
      <c r="CZ354" s="7"/>
      <c r="DA354" s="7"/>
    </row>
    <row r="355" spans="1:105"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c r="CO355" s="7"/>
      <c r="CP355" s="7"/>
      <c r="CQ355" s="7"/>
      <c r="CR355" s="7"/>
      <c r="CS355" s="7"/>
      <c r="CT355" s="7"/>
      <c r="CU355" s="7"/>
      <c r="CV355" s="7"/>
      <c r="CW355" s="7"/>
      <c r="CX355" s="7"/>
      <c r="CY355" s="7"/>
      <c r="CZ355" s="7"/>
      <c r="DA355" s="7"/>
    </row>
    <row r="356" spans="1:105"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c r="CC356" s="7"/>
      <c r="CD356" s="7"/>
      <c r="CE356" s="7"/>
      <c r="CF356" s="7"/>
      <c r="CG356" s="7"/>
      <c r="CH356" s="7"/>
      <c r="CI356" s="7"/>
      <c r="CJ356" s="7"/>
      <c r="CK356" s="7"/>
      <c r="CL356" s="7"/>
      <c r="CM356" s="7"/>
      <c r="CN356" s="7"/>
      <c r="CO356" s="7"/>
      <c r="CP356" s="7"/>
      <c r="CQ356" s="7"/>
      <c r="CR356" s="7"/>
      <c r="CS356" s="7"/>
      <c r="CT356" s="7"/>
      <c r="CU356" s="7"/>
      <c r="CV356" s="7"/>
      <c r="CW356" s="7"/>
      <c r="CX356" s="7"/>
      <c r="CY356" s="7"/>
      <c r="CZ356" s="7"/>
      <c r="DA356" s="7"/>
    </row>
    <row r="357" spans="1:105"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c r="CL357" s="7"/>
      <c r="CM357" s="7"/>
      <c r="CN357" s="7"/>
      <c r="CO357" s="7"/>
      <c r="CP357" s="7"/>
      <c r="CQ357" s="7"/>
      <c r="CR357" s="7"/>
      <c r="CS357" s="7"/>
      <c r="CT357" s="7"/>
      <c r="CU357" s="7"/>
      <c r="CV357" s="7"/>
      <c r="CW357" s="7"/>
      <c r="CX357" s="7"/>
      <c r="CY357" s="7"/>
      <c r="CZ357" s="7"/>
      <c r="DA357" s="7"/>
    </row>
    <row r="358" spans="1:105"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c r="CC358" s="7"/>
      <c r="CD358" s="7"/>
      <c r="CE358" s="7"/>
      <c r="CF358" s="7"/>
      <c r="CG358" s="7"/>
      <c r="CH358" s="7"/>
      <c r="CI358" s="7"/>
      <c r="CJ358" s="7"/>
      <c r="CK358" s="7"/>
      <c r="CL358" s="7"/>
      <c r="CM358" s="7"/>
      <c r="CN358" s="7"/>
      <c r="CO358" s="7"/>
      <c r="CP358" s="7"/>
      <c r="CQ358" s="7"/>
      <c r="CR358" s="7"/>
      <c r="CS358" s="7"/>
      <c r="CT358" s="7"/>
      <c r="CU358" s="7"/>
      <c r="CV358" s="7"/>
      <c r="CW358" s="7"/>
      <c r="CX358" s="7"/>
      <c r="CY358" s="7"/>
      <c r="CZ358" s="7"/>
      <c r="DA358" s="7"/>
    </row>
    <row r="359" spans="1:105"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7"/>
      <c r="CH359" s="7"/>
      <c r="CI359" s="7"/>
      <c r="CJ359" s="7"/>
      <c r="CK359" s="7"/>
      <c r="CL359" s="7"/>
      <c r="CM359" s="7"/>
      <c r="CN359" s="7"/>
      <c r="CO359" s="7"/>
      <c r="CP359" s="7"/>
      <c r="CQ359" s="7"/>
      <c r="CR359" s="7"/>
      <c r="CS359" s="7"/>
      <c r="CT359" s="7"/>
      <c r="CU359" s="7"/>
      <c r="CV359" s="7"/>
      <c r="CW359" s="7"/>
      <c r="CX359" s="7"/>
      <c r="CY359" s="7"/>
      <c r="CZ359" s="7"/>
      <c r="DA359" s="7"/>
    </row>
    <row r="360" spans="1:105"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c r="CC360" s="7"/>
      <c r="CD360" s="7"/>
      <c r="CE360" s="7"/>
      <c r="CF360" s="7"/>
      <c r="CG360" s="7"/>
      <c r="CH360" s="7"/>
      <c r="CI360" s="7"/>
      <c r="CJ360" s="7"/>
      <c r="CK360" s="7"/>
      <c r="CL360" s="7"/>
      <c r="CM360" s="7"/>
      <c r="CN360" s="7"/>
      <c r="CO360" s="7"/>
      <c r="CP360" s="7"/>
      <c r="CQ360" s="7"/>
      <c r="CR360" s="7"/>
      <c r="CS360" s="7"/>
      <c r="CT360" s="7"/>
      <c r="CU360" s="7"/>
      <c r="CV360" s="7"/>
      <c r="CW360" s="7"/>
      <c r="CX360" s="7"/>
      <c r="CY360" s="7"/>
      <c r="CZ360" s="7"/>
      <c r="DA360" s="7"/>
    </row>
    <row r="361" spans="1:105"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7"/>
      <c r="CF361" s="7"/>
      <c r="CG361" s="7"/>
      <c r="CH361" s="7"/>
      <c r="CI361" s="7"/>
      <c r="CJ361" s="7"/>
      <c r="CK361" s="7"/>
      <c r="CL361" s="7"/>
      <c r="CM361" s="7"/>
      <c r="CN361" s="7"/>
      <c r="CO361" s="7"/>
      <c r="CP361" s="7"/>
      <c r="CQ361" s="7"/>
      <c r="CR361" s="7"/>
      <c r="CS361" s="7"/>
      <c r="CT361" s="7"/>
      <c r="CU361" s="7"/>
      <c r="CV361" s="7"/>
      <c r="CW361" s="7"/>
      <c r="CX361" s="7"/>
      <c r="CY361" s="7"/>
      <c r="CZ361" s="7"/>
      <c r="DA361" s="7"/>
    </row>
    <row r="362" spans="1:105"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c r="CC362" s="7"/>
      <c r="CD362" s="7"/>
      <c r="CE362" s="7"/>
      <c r="CF362" s="7"/>
      <c r="CG362" s="7"/>
      <c r="CH362" s="7"/>
      <c r="CI362" s="7"/>
      <c r="CJ362" s="7"/>
      <c r="CK362" s="7"/>
      <c r="CL362" s="7"/>
      <c r="CM362" s="7"/>
      <c r="CN362" s="7"/>
      <c r="CO362" s="7"/>
      <c r="CP362" s="7"/>
      <c r="CQ362" s="7"/>
      <c r="CR362" s="7"/>
      <c r="CS362" s="7"/>
      <c r="CT362" s="7"/>
      <c r="CU362" s="7"/>
      <c r="CV362" s="7"/>
      <c r="CW362" s="7"/>
      <c r="CX362" s="7"/>
      <c r="CY362" s="7"/>
      <c r="CZ362" s="7"/>
      <c r="DA362" s="7"/>
    </row>
    <row r="363" spans="1:105"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c r="CL363" s="7"/>
      <c r="CM363" s="7"/>
      <c r="CN363" s="7"/>
      <c r="CO363" s="7"/>
      <c r="CP363" s="7"/>
      <c r="CQ363" s="7"/>
      <c r="CR363" s="7"/>
      <c r="CS363" s="7"/>
      <c r="CT363" s="7"/>
      <c r="CU363" s="7"/>
      <c r="CV363" s="7"/>
      <c r="CW363" s="7"/>
      <c r="CX363" s="7"/>
      <c r="CY363" s="7"/>
      <c r="CZ363" s="7"/>
      <c r="DA363" s="7"/>
    </row>
    <row r="364" spans="1:105"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c r="CC364" s="7"/>
      <c r="CD364" s="7"/>
      <c r="CE364" s="7"/>
      <c r="CF364" s="7"/>
      <c r="CG364" s="7"/>
      <c r="CH364" s="7"/>
      <c r="CI364" s="7"/>
      <c r="CJ364" s="7"/>
      <c r="CK364" s="7"/>
      <c r="CL364" s="7"/>
      <c r="CM364" s="7"/>
      <c r="CN364" s="7"/>
      <c r="CO364" s="7"/>
      <c r="CP364" s="7"/>
      <c r="CQ364" s="7"/>
      <c r="CR364" s="7"/>
      <c r="CS364" s="7"/>
      <c r="CT364" s="7"/>
      <c r="CU364" s="7"/>
      <c r="CV364" s="7"/>
      <c r="CW364" s="7"/>
      <c r="CX364" s="7"/>
      <c r="CY364" s="7"/>
      <c r="CZ364" s="7"/>
      <c r="DA364" s="7"/>
    </row>
    <row r="365" spans="1:105"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7"/>
      <c r="CH365" s="7"/>
      <c r="CI365" s="7"/>
      <c r="CJ365" s="7"/>
      <c r="CK365" s="7"/>
      <c r="CL365" s="7"/>
      <c r="CM365" s="7"/>
      <c r="CN365" s="7"/>
      <c r="CO365" s="7"/>
      <c r="CP365" s="7"/>
      <c r="CQ365" s="7"/>
      <c r="CR365" s="7"/>
      <c r="CS365" s="7"/>
      <c r="CT365" s="7"/>
      <c r="CU365" s="7"/>
      <c r="CV365" s="7"/>
      <c r="CW365" s="7"/>
      <c r="CX365" s="7"/>
      <c r="CY365" s="7"/>
      <c r="CZ365" s="7"/>
      <c r="DA365" s="7"/>
    </row>
    <row r="366" spans="1:105"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c r="CC366" s="7"/>
      <c r="CD366" s="7"/>
      <c r="CE366" s="7"/>
      <c r="CF366" s="7"/>
      <c r="CG366" s="7"/>
      <c r="CH366" s="7"/>
      <c r="CI366" s="7"/>
      <c r="CJ366" s="7"/>
      <c r="CK366" s="7"/>
      <c r="CL366" s="7"/>
      <c r="CM366" s="7"/>
      <c r="CN366" s="7"/>
      <c r="CO366" s="7"/>
      <c r="CP366" s="7"/>
      <c r="CQ366" s="7"/>
      <c r="CR366" s="7"/>
      <c r="CS366" s="7"/>
      <c r="CT366" s="7"/>
      <c r="CU366" s="7"/>
      <c r="CV366" s="7"/>
      <c r="CW366" s="7"/>
      <c r="CX366" s="7"/>
      <c r="CY366" s="7"/>
      <c r="CZ366" s="7"/>
      <c r="DA366" s="7"/>
    </row>
    <row r="367" spans="1:105"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c r="CC367" s="7"/>
      <c r="CD367" s="7"/>
      <c r="CE367" s="7"/>
      <c r="CF367" s="7"/>
      <c r="CG367" s="7"/>
      <c r="CH367" s="7"/>
      <c r="CI367" s="7"/>
      <c r="CJ367" s="7"/>
      <c r="CK367" s="7"/>
      <c r="CL367" s="7"/>
      <c r="CM367" s="7"/>
      <c r="CN367" s="7"/>
      <c r="CO367" s="7"/>
      <c r="CP367" s="7"/>
      <c r="CQ367" s="7"/>
      <c r="CR367" s="7"/>
      <c r="CS367" s="7"/>
      <c r="CT367" s="7"/>
      <c r="CU367" s="7"/>
      <c r="CV367" s="7"/>
      <c r="CW367" s="7"/>
      <c r="CX367" s="7"/>
      <c r="CY367" s="7"/>
      <c r="CZ367" s="7"/>
      <c r="DA367" s="7"/>
    </row>
    <row r="368" spans="1:105"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c r="CC368" s="7"/>
      <c r="CD368" s="7"/>
      <c r="CE368" s="7"/>
      <c r="CF368" s="7"/>
      <c r="CG368" s="7"/>
      <c r="CH368" s="7"/>
      <c r="CI368" s="7"/>
      <c r="CJ368" s="7"/>
      <c r="CK368" s="7"/>
      <c r="CL368" s="7"/>
      <c r="CM368" s="7"/>
      <c r="CN368" s="7"/>
      <c r="CO368" s="7"/>
      <c r="CP368" s="7"/>
      <c r="CQ368" s="7"/>
      <c r="CR368" s="7"/>
      <c r="CS368" s="7"/>
      <c r="CT368" s="7"/>
      <c r="CU368" s="7"/>
      <c r="CV368" s="7"/>
      <c r="CW368" s="7"/>
      <c r="CX368" s="7"/>
      <c r="CY368" s="7"/>
      <c r="CZ368" s="7"/>
      <c r="DA368" s="7"/>
    </row>
    <row r="369" spans="1:105"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c r="CC369" s="7"/>
      <c r="CD369" s="7"/>
      <c r="CE369" s="7"/>
      <c r="CF369" s="7"/>
      <c r="CG369" s="7"/>
      <c r="CH369" s="7"/>
      <c r="CI369" s="7"/>
      <c r="CJ369" s="7"/>
      <c r="CK369" s="7"/>
      <c r="CL369" s="7"/>
      <c r="CM369" s="7"/>
      <c r="CN369" s="7"/>
      <c r="CO369" s="7"/>
      <c r="CP369" s="7"/>
      <c r="CQ369" s="7"/>
      <c r="CR369" s="7"/>
      <c r="CS369" s="7"/>
      <c r="CT369" s="7"/>
      <c r="CU369" s="7"/>
      <c r="CV369" s="7"/>
      <c r="CW369" s="7"/>
      <c r="CX369" s="7"/>
      <c r="CY369" s="7"/>
      <c r="CZ369" s="7"/>
      <c r="DA369" s="7"/>
    </row>
    <row r="370" spans="1:105"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c r="CC370" s="7"/>
      <c r="CD370" s="7"/>
      <c r="CE370" s="7"/>
      <c r="CF370" s="7"/>
      <c r="CG370" s="7"/>
      <c r="CH370" s="7"/>
      <c r="CI370" s="7"/>
      <c r="CJ370" s="7"/>
      <c r="CK370" s="7"/>
      <c r="CL370" s="7"/>
      <c r="CM370" s="7"/>
      <c r="CN370" s="7"/>
      <c r="CO370" s="7"/>
      <c r="CP370" s="7"/>
      <c r="CQ370" s="7"/>
      <c r="CR370" s="7"/>
      <c r="CS370" s="7"/>
      <c r="CT370" s="7"/>
      <c r="CU370" s="7"/>
      <c r="CV370" s="7"/>
      <c r="CW370" s="7"/>
      <c r="CX370" s="7"/>
      <c r="CY370" s="7"/>
      <c r="CZ370" s="7"/>
      <c r="DA370" s="7"/>
    </row>
    <row r="371" spans="1:105"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c r="CC371" s="7"/>
      <c r="CD371" s="7"/>
      <c r="CE371" s="7"/>
      <c r="CF371" s="7"/>
      <c r="CG371" s="7"/>
      <c r="CH371" s="7"/>
      <c r="CI371" s="7"/>
      <c r="CJ371" s="7"/>
      <c r="CK371" s="7"/>
      <c r="CL371" s="7"/>
      <c r="CM371" s="7"/>
      <c r="CN371" s="7"/>
      <c r="CO371" s="7"/>
      <c r="CP371" s="7"/>
      <c r="CQ371" s="7"/>
      <c r="CR371" s="7"/>
      <c r="CS371" s="7"/>
      <c r="CT371" s="7"/>
      <c r="CU371" s="7"/>
      <c r="CV371" s="7"/>
      <c r="CW371" s="7"/>
      <c r="CX371" s="7"/>
      <c r="CY371" s="7"/>
      <c r="CZ371" s="7"/>
      <c r="DA371" s="7"/>
    </row>
    <row r="372" spans="1:105"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c r="BZ372" s="7"/>
      <c r="CA372" s="7"/>
      <c r="CB372" s="7"/>
      <c r="CC372" s="7"/>
      <c r="CD372" s="7"/>
      <c r="CE372" s="7"/>
      <c r="CF372" s="7"/>
      <c r="CG372" s="7"/>
      <c r="CH372" s="7"/>
      <c r="CI372" s="7"/>
      <c r="CJ372" s="7"/>
      <c r="CK372" s="7"/>
      <c r="CL372" s="7"/>
      <c r="CM372" s="7"/>
      <c r="CN372" s="7"/>
      <c r="CO372" s="7"/>
      <c r="CP372" s="7"/>
      <c r="CQ372" s="7"/>
      <c r="CR372" s="7"/>
      <c r="CS372" s="7"/>
      <c r="CT372" s="7"/>
      <c r="CU372" s="7"/>
      <c r="CV372" s="7"/>
      <c r="CW372" s="7"/>
      <c r="CX372" s="7"/>
      <c r="CY372" s="7"/>
      <c r="CZ372" s="7"/>
      <c r="DA372" s="7"/>
    </row>
    <row r="373" spans="1:105"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c r="CC373" s="7"/>
      <c r="CD373" s="7"/>
      <c r="CE373" s="7"/>
      <c r="CF373" s="7"/>
      <c r="CG373" s="7"/>
      <c r="CH373" s="7"/>
      <c r="CI373" s="7"/>
      <c r="CJ373" s="7"/>
      <c r="CK373" s="7"/>
      <c r="CL373" s="7"/>
      <c r="CM373" s="7"/>
      <c r="CN373" s="7"/>
      <c r="CO373" s="7"/>
      <c r="CP373" s="7"/>
      <c r="CQ373" s="7"/>
      <c r="CR373" s="7"/>
      <c r="CS373" s="7"/>
      <c r="CT373" s="7"/>
      <c r="CU373" s="7"/>
      <c r="CV373" s="7"/>
      <c r="CW373" s="7"/>
      <c r="CX373" s="7"/>
      <c r="CY373" s="7"/>
      <c r="CZ373" s="7"/>
      <c r="DA373" s="7"/>
    </row>
    <row r="374" spans="1:105"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c r="CC374" s="7"/>
      <c r="CD374" s="7"/>
      <c r="CE374" s="7"/>
      <c r="CF374" s="7"/>
      <c r="CG374" s="7"/>
      <c r="CH374" s="7"/>
      <c r="CI374" s="7"/>
      <c r="CJ374" s="7"/>
      <c r="CK374" s="7"/>
      <c r="CL374" s="7"/>
      <c r="CM374" s="7"/>
      <c r="CN374" s="7"/>
      <c r="CO374" s="7"/>
      <c r="CP374" s="7"/>
      <c r="CQ374" s="7"/>
      <c r="CR374" s="7"/>
      <c r="CS374" s="7"/>
      <c r="CT374" s="7"/>
      <c r="CU374" s="7"/>
      <c r="CV374" s="7"/>
      <c r="CW374" s="7"/>
      <c r="CX374" s="7"/>
      <c r="CY374" s="7"/>
      <c r="CZ374" s="7"/>
      <c r="DA374" s="7"/>
    </row>
    <row r="375" spans="1:105"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c r="CC375" s="7"/>
      <c r="CD375" s="7"/>
      <c r="CE375" s="7"/>
      <c r="CF375" s="7"/>
      <c r="CG375" s="7"/>
      <c r="CH375" s="7"/>
      <c r="CI375" s="7"/>
      <c r="CJ375" s="7"/>
      <c r="CK375" s="7"/>
      <c r="CL375" s="7"/>
      <c r="CM375" s="7"/>
      <c r="CN375" s="7"/>
      <c r="CO375" s="7"/>
      <c r="CP375" s="7"/>
      <c r="CQ375" s="7"/>
      <c r="CR375" s="7"/>
      <c r="CS375" s="7"/>
      <c r="CT375" s="7"/>
      <c r="CU375" s="7"/>
      <c r="CV375" s="7"/>
      <c r="CW375" s="7"/>
      <c r="CX375" s="7"/>
      <c r="CY375" s="7"/>
      <c r="CZ375" s="7"/>
      <c r="DA375" s="7"/>
    </row>
    <row r="376" spans="1:105"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c r="CC376" s="7"/>
      <c r="CD376" s="7"/>
      <c r="CE376" s="7"/>
      <c r="CF376" s="7"/>
      <c r="CG376" s="7"/>
      <c r="CH376" s="7"/>
      <c r="CI376" s="7"/>
      <c r="CJ376" s="7"/>
      <c r="CK376" s="7"/>
      <c r="CL376" s="7"/>
      <c r="CM376" s="7"/>
      <c r="CN376" s="7"/>
      <c r="CO376" s="7"/>
      <c r="CP376" s="7"/>
      <c r="CQ376" s="7"/>
      <c r="CR376" s="7"/>
      <c r="CS376" s="7"/>
      <c r="CT376" s="7"/>
      <c r="CU376" s="7"/>
      <c r="CV376" s="7"/>
      <c r="CW376" s="7"/>
      <c r="CX376" s="7"/>
      <c r="CY376" s="7"/>
      <c r="CZ376" s="7"/>
      <c r="DA376" s="7"/>
    </row>
    <row r="377" spans="1:105"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c r="CC377" s="7"/>
      <c r="CD377" s="7"/>
      <c r="CE377" s="7"/>
      <c r="CF377" s="7"/>
      <c r="CG377" s="7"/>
      <c r="CH377" s="7"/>
      <c r="CI377" s="7"/>
      <c r="CJ377" s="7"/>
      <c r="CK377" s="7"/>
      <c r="CL377" s="7"/>
      <c r="CM377" s="7"/>
      <c r="CN377" s="7"/>
      <c r="CO377" s="7"/>
      <c r="CP377" s="7"/>
      <c r="CQ377" s="7"/>
      <c r="CR377" s="7"/>
      <c r="CS377" s="7"/>
      <c r="CT377" s="7"/>
      <c r="CU377" s="7"/>
      <c r="CV377" s="7"/>
      <c r="CW377" s="7"/>
      <c r="CX377" s="7"/>
      <c r="CY377" s="7"/>
      <c r="CZ377" s="7"/>
      <c r="DA377" s="7"/>
    </row>
    <row r="378" spans="1:105"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c r="CC378" s="7"/>
      <c r="CD378" s="7"/>
      <c r="CE378" s="7"/>
      <c r="CF378" s="7"/>
      <c r="CG378" s="7"/>
      <c r="CH378" s="7"/>
      <c r="CI378" s="7"/>
      <c r="CJ378" s="7"/>
      <c r="CK378" s="7"/>
      <c r="CL378" s="7"/>
      <c r="CM378" s="7"/>
      <c r="CN378" s="7"/>
      <c r="CO378" s="7"/>
      <c r="CP378" s="7"/>
      <c r="CQ378" s="7"/>
      <c r="CR378" s="7"/>
      <c r="CS378" s="7"/>
      <c r="CT378" s="7"/>
      <c r="CU378" s="7"/>
      <c r="CV378" s="7"/>
      <c r="CW378" s="7"/>
      <c r="CX378" s="7"/>
      <c r="CY378" s="7"/>
      <c r="CZ378" s="7"/>
      <c r="DA378" s="7"/>
    </row>
    <row r="379" spans="1:105"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7"/>
      <c r="CH379" s="7"/>
      <c r="CI379" s="7"/>
      <c r="CJ379" s="7"/>
      <c r="CK379" s="7"/>
      <c r="CL379" s="7"/>
      <c r="CM379" s="7"/>
      <c r="CN379" s="7"/>
      <c r="CO379" s="7"/>
      <c r="CP379" s="7"/>
      <c r="CQ379" s="7"/>
      <c r="CR379" s="7"/>
      <c r="CS379" s="7"/>
      <c r="CT379" s="7"/>
      <c r="CU379" s="7"/>
      <c r="CV379" s="7"/>
      <c r="CW379" s="7"/>
      <c r="CX379" s="7"/>
      <c r="CY379" s="7"/>
      <c r="CZ379" s="7"/>
      <c r="DA379" s="7"/>
    </row>
    <row r="380" spans="1:105"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c r="CC380" s="7"/>
      <c r="CD380" s="7"/>
      <c r="CE380" s="7"/>
      <c r="CF380" s="7"/>
      <c r="CG380" s="7"/>
      <c r="CH380" s="7"/>
      <c r="CI380" s="7"/>
      <c r="CJ380" s="7"/>
      <c r="CK380" s="7"/>
      <c r="CL380" s="7"/>
      <c r="CM380" s="7"/>
      <c r="CN380" s="7"/>
      <c r="CO380" s="7"/>
      <c r="CP380" s="7"/>
      <c r="CQ380" s="7"/>
      <c r="CR380" s="7"/>
      <c r="CS380" s="7"/>
      <c r="CT380" s="7"/>
      <c r="CU380" s="7"/>
      <c r="CV380" s="7"/>
      <c r="CW380" s="7"/>
      <c r="CX380" s="7"/>
      <c r="CY380" s="7"/>
      <c r="CZ380" s="7"/>
      <c r="DA380" s="7"/>
    </row>
    <row r="381" spans="1:105"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c r="CC381" s="7"/>
      <c r="CD381" s="7"/>
      <c r="CE381" s="7"/>
      <c r="CF381" s="7"/>
      <c r="CG381" s="7"/>
      <c r="CH381" s="7"/>
      <c r="CI381" s="7"/>
      <c r="CJ381" s="7"/>
      <c r="CK381" s="7"/>
      <c r="CL381" s="7"/>
      <c r="CM381" s="7"/>
      <c r="CN381" s="7"/>
      <c r="CO381" s="7"/>
      <c r="CP381" s="7"/>
      <c r="CQ381" s="7"/>
      <c r="CR381" s="7"/>
      <c r="CS381" s="7"/>
      <c r="CT381" s="7"/>
      <c r="CU381" s="7"/>
      <c r="CV381" s="7"/>
      <c r="CW381" s="7"/>
      <c r="CX381" s="7"/>
      <c r="CY381" s="7"/>
      <c r="CZ381" s="7"/>
      <c r="DA381" s="7"/>
    </row>
    <row r="382" spans="1:105"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c r="CC382" s="7"/>
      <c r="CD382" s="7"/>
      <c r="CE382" s="7"/>
      <c r="CF382" s="7"/>
      <c r="CG382" s="7"/>
      <c r="CH382" s="7"/>
      <c r="CI382" s="7"/>
      <c r="CJ382" s="7"/>
      <c r="CK382" s="7"/>
      <c r="CL382" s="7"/>
      <c r="CM382" s="7"/>
      <c r="CN382" s="7"/>
      <c r="CO382" s="7"/>
      <c r="CP382" s="7"/>
      <c r="CQ382" s="7"/>
      <c r="CR382" s="7"/>
      <c r="CS382" s="7"/>
      <c r="CT382" s="7"/>
      <c r="CU382" s="7"/>
      <c r="CV382" s="7"/>
      <c r="CW382" s="7"/>
      <c r="CX382" s="7"/>
      <c r="CY382" s="7"/>
      <c r="CZ382" s="7"/>
      <c r="DA382" s="7"/>
    </row>
    <row r="383" spans="1:105"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c r="CC383" s="7"/>
      <c r="CD383" s="7"/>
      <c r="CE383" s="7"/>
      <c r="CF383" s="7"/>
      <c r="CG383" s="7"/>
      <c r="CH383" s="7"/>
      <c r="CI383" s="7"/>
      <c r="CJ383" s="7"/>
      <c r="CK383" s="7"/>
      <c r="CL383" s="7"/>
      <c r="CM383" s="7"/>
      <c r="CN383" s="7"/>
      <c r="CO383" s="7"/>
      <c r="CP383" s="7"/>
      <c r="CQ383" s="7"/>
      <c r="CR383" s="7"/>
      <c r="CS383" s="7"/>
      <c r="CT383" s="7"/>
      <c r="CU383" s="7"/>
      <c r="CV383" s="7"/>
      <c r="CW383" s="7"/>
      <c r="CX383" s="7"/>
      <c r="CY383" s="7"/>
      <c r="CZ383" s="7"/>
      <c r="DA383" s="7"/>
    </row>
    <row r="384" spans="1:105"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c r="CC384" s="7"/>
      <c r="CD384" s="7"/>
      <c r="CE384" s="7"/>
      <c r="CF384" s="7"/>
      <c r="CG384" s="7"/>
      <c r="CH384" s="7"/>
      <c r="CI384" s="7"/>
      <c r="CJ384" s="7"/>
      <c r="CK384" s="7"/>
      <c r="CL384" s="7"/>
      <c r="CM384" s="7"/>
      <c r="CN384" s="7"/>
      <c r="CO384" s="7"/>
      <c r="CP384" s="7"/>
      <c r="CQ384" s="7"/>
      <c r="CR384" s="7"/>
      <c r="CS384" s="7"/>
      <c r="CT384" s="7"/>
      <c r="CU384" s="7"/>
      <c r="CV384" s="7"/>
      <c r="CW384" s="7"/>
      <c r="CX384" s="7"/>
      <c r="CY384" s="7"/>
      <c r="CZ384" s="7"/>
      <c r="DA384" s="7"/>
    </row>
    <row r="385" spans="1:105"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c r="CC385" s="7"/>
      <c r="CD385" s="7"/>
      <c r="CE385" s="7"/>
      <c r="CF385" s="7"/>
      <c r="CG385" s="7"/>
      <c r="CH385" s="7"/>
      <c r="CI385" s="7"/>
      <c r="CJ385" s="7"/>
      <c r="CK385" s="7"/>
      <c r="CL385" s="7"/>
      <c r="CM385" s="7"/>
      <c r="CN385" s="7"/>
      <c r="CO385" s="7"/>
      <c r="CP385" s="7"/>
      <c r="CQ385" s="7"/>
      <c r="CR385" s="7"/>
      <c r="CS385" s="7"/>
      <c r="CT385" s="7"/>
      <c r="CU385" s="7"/>
      <c r="CV385" s="7"/>
      <c r="CW385" s="7"/>
      <c r="CX385" s="7"/>
      <c r="CY385" s="7"/>
      <c r="CZ385" s="7"/>
      <c r="DA385" s="7"/>
    </row>
    <row r="386" spans="1:105"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c r="CC386" s="7"/>
      <c r="CD386" s="7"/>
      <c r="CE386" s="7"/>
      <c r="CF386" s="7"/>
      <c r="CG386" s="7"/>
      <c r="CH386" s="7"/>
      <c r="CI386" s="7"/>
      <c r="CJ386" s="7"/>
      <c r="CK386" s="7"/>
      <c r="CL386" s="7"/>
      <c r="CM386" s="7"/>
      <c r="CN386" s="7"/>
      <c r="CO386" s="7"/>
      <c r="CP386" s="7"/>
      <c r="CQ386" s="7"/>
      <c r="CR386" s="7"/>
      <c r="CS386" s="7"/>
      <c r="CT386" s="7"/>
      <c r="CU386" s="7"/>
      <c r="CV386" s="7"/>
      <c r="CW386" s="7"/>
      <c r="CX386" s="7"/>
      <c r="CY386" s="7"/>
      <c r="CZ386" s="7"/>
      <c r="DA386" s="7"/>
    </row>
    <row r="387" spans="1:105"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c r="CC387" s="7"/>
      <c r="CD387" s="7"/>
      <c r="CE387" s="7"/>
      <c r="CF387" s="7"/>
      <c r="CG387" s="7"/>
      <c r="CH387" s="7"/>
      <c r="CI387" s="7"/>
      <c r="CJ387" s="7"/>
      <c r="CK387" s="7"/>
      <c r="CL387" s="7"/>
      <c r="CM387" s="7"/>
      <c r="CN387" s="7"/>
      <c r="CO387" s="7"/>
      <c r="CP387" s="7"/>
      <c r="CQ387" s="7"/>
      <c r="CR387" s="7"/>
      <c r="CS387" s="7"/>
      <c r="CT387" s="7"/>
      <c r="CU387" s="7"/>
      <c r="CV387" s="7"/>
      <c r="CW387" s="7"/>
      <c r="CX387" s="7"/>
      <c r="CY387" s="7"/>
      <c r="CZ387" s="7"/>
      <c r="DA387" s="7"/>
    </row>
    <row r="388" spans="1:105"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c r="CC388" s="7"/>
      <c r="CD388" s="7"/>
      <c r="CE388" s="7"/>
      <c r="CF388" s="7"/>
      <c r="CG388" s="7"/>
      <c r="CH388" s="7"/>
      <c r="CI388" s="7"/>
      <c r="CJ388" s="7"/>
      <c r="CK388" s="7"/>
      <c r="CL388" s="7"/>
      <c r="CM388" s="7"/>
      <c r="CN388" s="7"/>
      <c r="CO388" s="7"/>
      <c r="CP388" s="7"/>
      <c r="CQ388" s="7"/>
      <c r="CR388" s="7"/>
      <c r="CS388" s="7"/>
      <c r="CT388" s="7"/>
      <c r="CU388" s="7"/>
      <c r="CV388" s="7"/>
      <c r="CW388" s="7"/>
      <c r="CX388" s="7"/>
      <c r="CY388" s="7"/>
      <c r="CZ388" s="7"/>
      <c r="DA388" s="7"/>
    </row>
    <row r="389" spans="1:105"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c r="CC389" s="7"/>
      <c r="CD389" s="7"/>
      <c r="CE389" s="7"/>
      <c r="CF389" s="7"/>
      <c r="CG389" s="7"/>
      <c r="CH389" s="7"/>
      <c r="CI389" s="7"/>
      <c r="CJ389" s="7"/>
      <c r="CK389" s="7"/>
      <c r="CL389" s="7"/>
      <c r="CM389" s="7"/>
      <c r="CN389" s="7"/>
      <c r="CO389" s="7"/>
      <c r="CP389" s="7"/>
      <c r="CQ389" s="7"/>
      <c r="CR389" s="7"/>
      <c r="CS389" s="7"/>
      <c r="CT389" s="7"/>
      <c r="CU389" s="7"/>
      <c r="CV389" s="7"/>
      <c r="CW389" s="7"/>
      <c r="CX389" s="7"/>
      <c r="CY389" s="7"/>
      <c r="CZ389" s="7"/>
      <c r="DA389" s="7"/>
    </row>
    <row r="390" spans="1:105"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c r="CC390" s="7"/>
      <c r="CD390" s="7"/>
      <c r="CE390" s="7"/>
      <c r="CF390" s="7"/>
      <c r="CG390" s="7"/>
      <c r="CH390" s="7"/>
      <c r="CI390" s="7"/>
      <c r="CJ390" s="7"/>
      <c r="CK390" s="7"/>
      <c r="CL390" s="7"/>
      <c r="CM390" s="7"/>
      <c r="CN390" s="7"/>
      <c r="CO390" s="7"/>
      <c r="CP390" s="7"/>
      <c r="CQ390" s="7"/>
      <c r="CR390" s="7"/>
      <c r="CS390" s="7"/>
      <c r="CT390" s="7"/>
      <c r="CU390" s="7"/>
      <c r="CV390" s="7"/>
      <c r="CW390" s="7"/>
      <c r="CX390" s="7"/>
      <c r="CY390" s="7"/>
      <c r="CZ390" s="7"/>
      <c r="DA390" s="7"/>
    </row>
    <row r="391" spans="1:105"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c r="CC391" s="7"/>
      <c r="CD391" s="7"/>
      <c r="CE391" s="7"/>
      <c r="CF391" s="7"/>
      <c r="CG391" s="7"/>
      <c r="CH391" s="7"/>
      <c r="CI391" s="7"/>
      <c r="CJ391" s="7"/>
      <c r="CK391" s="7"/>
      <c r="CL391" s="7"/>
      <c r="CM391" s="7"/>
      <c r="CN391" s="7"/>
      <c r="CO391" s="7"/>
      <c r="CP391" s="7"/>
      <c r="CQ391" s="7"/>
      <c r="CR391" s="7"/>
      <c r="CS391" s="7"/>
      <c r="CT391" s="7"/>
      <c r="CU391" s="7"/>
      <c r="CV391" s="7"/>
      <c r="CW391" s="7"/>
      <c r="CX391" s="7"/>
      <c r="CY391" s="7"/>
      <c r="CZ391" s="7"/>
      <c r="DA391" s="7"/>
    </row>
    <row r="392" spans="1:105"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c r="CC392" s="7"/>
      <c r="CD392" s="7"/>
      <c r="CE392" s="7"/>
      <c r="CF392" s="7"/>
      <c r="CG392" s="7"/>
      <c r="CH392" s="7"/>
      <c r="CI392" s="7"/>
      <c r="CJ392" s="7"/>
      <c r="CK392" s="7"/>
      <c r="CL392" s="7"/>
      <c r="CM392" s="7"/>
      <c r="CN392" s="7"/>
      <c r="CO392" s="7"/>
      <c r="CP392" s="7"/>
      <c r="CQ392" s="7"/>
      <c r="CR392" s="7"/>
      <c r="CS392" s="7"/>
      <c r="CT392" s="7"/>
      <c r="CU392" s="7"/>
      <c r="CV392" s="7"/>
      <c r="CW392" s="7"/>
      <c r="CX392" s="7"/>
      <c r="CY392" s="7"/>
      <c r="CZ392" s="7"/>
      <c r="DA392" s="7"/>
    </row>
    <row r="393" spans="1:105"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c r="CC393" s="7"/>
      <c r="CD393" s="7"/>
      <c r="CE393" s="7"/>
      <c r="CF393" s="7"/>
      <c r="CG393" s="7"/>
      <c r="CH393" s="7"/>
      <c r="CI393" s="7"/>
      <c r="CJ393" s="7"/>
      <c r="CK393" s="7"/>
      <c r="CL393" s="7"/>
      <c r="CM393" s="7"/>
      <c r="CN393" s="7"/>
      <c r="CO393" s="7"/>
      <c r="CP393" s="7"/>
      <c r="CQ393" s="7"/>
      <c r="CR393" s="7"/>
      <c r="CS393" s="7"/>
      <c r="CT393" s="7"/>
      <c r="CU393" s="7"/>
      <c r="CV393" s="7"/>
      <c r="CW393" s="7"/>
      <c r="CX393" s="7"/>
      <c r="CY393" s="7"/>
      <c r="CZ393" s="7"/>
      <c r="DA393" s="7"/>
    </row>
    <row r="394" spans="1:105"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c r="CC394" s="7"/>
      <c r="CD394" s="7"/>
      <c r="CE394" s="7"/>
      <c r="CF394" s="7"/>
      <c r="CG394" s="7"/>
      <c r="CH394" s="7"/>
      <c r="CI394" s="7"/>
      <c r="CJ394" s="7"/>
      <c r="CK394" s="7"/>
      <c r="CL394" s="7"/>
      <c r="CM394" s="7"/>
      <c r="CN394" s="7"/>
      <c r="CO394" s="7"/>
      <c r="CP394" s="7"/>
      <c r="CQ394" s="7"/>
      <c r="CR394" s="7"/>
      <c r="CS394" s="7"/>
      <c r="CT394" s="7"/>
      <c r="CU394" s="7"/>
      <c r="CV394" s="7"/>
      <c r="CW394" s="7"/>
      <c r="CX394" s="7"/>
      <c r="CY394" s="7"/>
      <c r="CZ394" s="7"/>
      <c r="DA394" s="7"/>
    </row>
    <row r="395" spans="1:105"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c r="CC395" s="7"/>
      <c r="CD395" s="7"/>
      <c r="CE395" s="7"/>
      <c r="CF395" s="7"/>
      <c r="CG395" s="7"/>
      <c r="CH395" s="7"/>
      <c r="CI395" s="7"/>
      <c r="CJ395" s="7"/>
      <c r="CK395" s="7"/>
      <c r="CL395" s="7"/>
      <c r="CM395" s="7"/>
      <c r="CN395" s="7"/>
      <c r="CO395" s="7"/>
      <c r="CP395" s="7"/>
      <c r="CQ395" s="7"/>
      <c r="CR395" s="7"/>
      <c r="CS395" s="7"/>
      <c r="CT395" s="7"/>
      <c r="CU395" s="7"/>
      <c r="CV395" s="7"/>
      <c r="CW395" s="7"/>
      <c r="CX395" s="7"/>
      <c r="CY395" s="7"/>
      <c r="CZ395" s="7"/>
      <c r="DA395" s="7"/>
    </row>
    <row r="396" spans="1:105"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c r="BV396" s="7"/>
      <c r="BW396" s="7"/>
      <c r="BX396" s="7"/>
      <c r="BY396" s="7"/>
      <c r="BZ396" s="7"/>
      <c r="CA396" s="7"/>
      <c r="CB396" s="7"/>
      <c r="CC396" s="7"/>
      <c r="CD396" s="7"/>
      <c r="CE396" s="7"/>
      <c r="CF396" s="7"/>
      <c r="CG396" s="7"/>
      <c r="CH396" s="7"/>
      <c r="CI396" s="7"/>
      <c r="CJ396" s="7"/>
      <c r="CK396" s="7"/>
      <c r="CL396" s="7"/>
      <c r="CM396" s="7"/>
      <c r="CN396" s="7"/>
      <c r="CO396" s="7"/>
      <c r="CP396" s="7"/>
      <c r="CQ396" s="7"/>
      <c r="CR396" s="7"/>
      <c r="CS396" s="7"/>
      <c r="CT396" s="7"/>
      <c r="CU396" s="7"/>
      <c r="CV396" s="7"/>
      <c r="CW396" s="7"/>
      <c r="CX396" s="7"/>
      <c r="CY396" s="7"/>
      <c r="CZ396" s="7"/>
      <c r="DA396" s="7"/>
    </row>
    <row r="397" spans="1:105"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c r="CC397" s="7"/>
      <c r="CD397" s="7"/>
      <c r="CE397" s="7"/>
      <c r="CF397" s="7"/>
      <c r="CG397" s="7"/>
      <c r="CH397" s="7"/>
      <c r="CI397" s="7"/>
      <c r="CJ397" s="7"/>
      <c r="CK397" s="7"/>
      <c r="CL397" s="7"/>
      <c r="CM397" s="7"/>
      <c r="CN397" s="7"/>
      <c r="CO397" s="7"/>
      <c r="CP397" s="7"/>
      <c r="CQ397" s="7"/>
      <c r="CR397" s="7"/>
      <c r="CS397" s="7"/>
      <c r="CT397" s="7"/>
      <c r="CU397" s="7"/>
      <c r="CV397" s="7"/>
      <c r="CW397" s="7"/>
      <c r="CX397" s="7"/>
      <c r="CY397" s="7"/>
      <c r="CZ397" s="7"/>
      <c r="DA397" s="7"/>
    </row>
    <row r="398" spans="1:105"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c r="CC398" s="7"/>
      <c r="CD398" s="7"/>
      <c r="CE398" s="7"/>
      <c r="CF398" s="7"/>
      <c r="CG398" s="7"/>
      <c r="CH398" s="7"/>
      <c r="CI398" s="7"/>
      <c r="CJ398" s="7"/>
      <c r="CK398" s="7"/>
      <c r="CL398" s="7"/>
      <c r="CM398" s="7"/>
      <c r="CN398" s="7"/>
      <c r="CO398" s="7"/>
      <c r="CP398" s="7"/>
      <c r="CQ398" s="7"/>
      <c r="CR398" s="7"/>
      <c r="CS398" s="7"/>
      <c r="CT398" s="7"/>
      <c r="CU398" s="7"/>
      <c r="CV398" s="7"/>
      <c r="CW398" s="7"/>
      <c r="CX398" s="7"/>
      <c r="CY398" s="7"/>
      <c r="CZ398" s="7"/>
      <c r="DA398" s="7"/>
    </row>
    <row r="399" spans="1:105"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7"/>
      <c r="CH399" s="7"/>
      <c r="CI399" s="7"/>
      <c r="CJ399" s="7"/>
      <c r="CK399" s="7"/>
      <c r="CL399" s="7"/>
      <c r="CM399" s="7"/>
      <c r="CN399" s="7"/>
      <c r="CO399" s="7"/>
      <c r="CP399" s="7"/>
      <c r="CQ399" s="7"/>
      <c r="CR399" s="7"/>
      <c r="CS399" s="7"/>
      <c r="CT399" s="7"/>
      <c r="CU399" s="7"/>
      <c r="CV399" s="7"/>
      <c r="CW399" s="7"/>
      <c r="CX399" s="7"/>
      <c r="CY399" s="7"/>
      <c r="CZ399" s="7"/>
      <c r="DA399" s="7"/>
    </row>
    <row r="400" spans="1:105"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c r="BZ400" s="7"/>
      <c r="CA400" s="7"/>
      <c r="CB400" s="7"/>
      <c r="CC400" s="7"/>
      <c r="CD400" s="7"/>
      <c r="CE400" s="7"/>
      <c r="CF400" s="7"/>
      <c r="CG400" s="7"/>
      <c r="CH400" s="7"/>
      <c r="CI400" s="7"/>
      <c r="CJ400" s="7"/>
      <c r="CK400" s="7"/>
      <c r="CL400" s="7"/>
      <c r="CM400" s="7"/>
      <c r="CN400" s="7"/>
      <c r="CO400" s="7"/>
      <c r="CP400" s="7"/>
      <c r="CQ400" s="7"/>
      <c r="CR400" s="7"/>
      <c r="CS400" s="7"/>
      <c r="CT400" s="7"/>
      <c r="CU400" s="7"/>
      <c r="CV400" s="7"/>
      <c r="CW400" s="7"/>
      <c r="CX400" s="7"/>
      <c r="CY400" s="7"/>
      <c r="CZ400" s="7"/>
      <c r="DA400" s="7"/>
    </row>
    <row r="401" spans="1:105"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c r="CC401" s="7"/>
      <c r="CD401" s="7"/>
      <c r="CE401" s="7"/>
      <c r="CF401" s="7"/>
      <c r="CG401" s="7"/>
      <c r="CH401" s="7"/>
      <c r="CI401" s="7"/>
      <c r="CJ401" s="7"/>
      <c r="CK401" s="7"/>
      <c r="CL401" s="7"/>
      <c r="CM401" s="7"/>
      <c r="CN401" s="7"/>
      <c r="CO401" s="7"/>
      <c r="CP401" s="7"/>
      <c r="CQ401" s="7"/>
      <c r="CR401" s="7"/>
      <c r="CS401" s="7"/>
      <c r="CT401" s="7"/>
      <c r="CU401" s="7"/>
      <c r="CV401" s="7"/>
      <c r="CW401" s="7"/>
      <c r="CX401" s="7"/>
      <c r="CY401" s="7"/>
      <c r="CZ401" s="7"/>
      <c r="DA401" s="7"/>
    </row>
    <row r="402" spans="1:105"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c r="CC402" s="7"/>
      <c r="CD402" s="7"/>
      <c r="CE402" s="7"/>
      <c r="CF402" s="7"/>
      <c r="CG402" s="7"/>
      <c r="CH402" s="7"/>
      <c r="CI402" s="7"/>
      <c r="CJ402" s="7"/>
      <c r="CK402" s="7"/>
      <c r="CL402" s="7"/>
      <c r="CM402" s="7"/>
      <c r="CN402" s="7"/>
      <c r="CO402" s="7"/>
      <c r="CP402" s="7"/>
      <c r="CQ402" s="7"/>
      <c r="CR402" s="7"/>
      <c r="CS402" s="7"/>
      <c r="CT402" s="7"/>
      <c r="CU402" s="7"/>
      <c r="CV402" s="7"/>
      <c r="CW402" s="7"/>
      <c r="CX402" s="7"/>
      <c r="CY402" s="7"/>
      <c r="CZ402" s="7"/>
      <c r="DA402" s="7"/>
    </row>
    <row r="403" spans="1:105"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c r="CC403" s="7"/>
      <c r="CD403" s="7"/>
      <c r="CE403" s="7"/>
      <c r="CF403" s="7"/>
      <c r="CG403" s="7"/>
      <c r="CH403" s="7"/>
      <c r="CI403" s="7"/>
      <c r="CJ403" s="7"/>
      <c r="CK403" s="7"/>
      <c r="CL403" s="7"/>
      <c r="CM403" s="7"/>
      <c r="CN403" s="7"/>
      <c r="CO403" s="7"/>
      <c r="CP403" s="7"/>
      <c r="CQ403" s="7"/>
      <c r="CR403" s="7"/>
      <c r="CS403" s="7"/>
      <c r="CT403" s="7"/>
      <c r="CU403" s="7"/>
      <c r="CV403" s="7"/>
      <c r="CW403" s="7"/>
      <c r="CX403" s="7"/>
      <c r="CY403" s="7"/>
      <c r="CZ403" s="7"/>
      <c r="DA403" s="7"/>
    </row>
    <row r="404" spans="1:105"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c r="BZ404" s="7"/>
      <c r="CA404" s="7"/>
      <c r="CB404" s="7"/>
      <c r="CC404" s="7"/>
      <c r="CD404" s="7"/>
      <c r="CE404" s="7"/>
      <c r="CF404" s="7"/>
      <c r="CG404" s="7"/>
      <c r="CH404" s="7"/>
      <c r="CI404" s="7"/>
      <c r="CJ404" s="7"/>
      <c r="CK404" s="7"/>
      <c r="CL404" s="7"/>
      <c r="CM404" s="7"/>
      <c r="CN404" s="7"/>
      <c r="CO404" s="7"/>
      <c r="CP404" s="7"/>
      <c r="CQ404" s="7"/>
      <c r="CR404" s="7"/>
      <c r="CS404" s="7"/>
      <c r="CT404" s="7"/>
      <c r="CU404" s="7"/>
      <c r="CV404" s="7"/>
      <c r="CW404" s="7"/>
      <c r="CX404" s="7"/>
      <c r="CY404" s="7"/>
      <c r="CZ404" s="7"/>
      <c r="DA404" s="7"/>
    </row>
    <row r="405" spans="1:105"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c r="CC405" s="7"/>
      <c r="CD405" s="7"/>
      <c r="CE405" s="7"/>
      <c r="CF405" s="7"/>
      <c r="CG405" s="7"/>
      <c r="CH405" s="7"/>
      <c r="CI405" s="7"/>
      <c r="CJ405" s="7"/>
      <c r="CK405" s="7"/>
      <c r="CL405" s="7"/>
      <c r="CM405" s="7"/>
      <c r="CN405" s="7"/>
      <c r="CO405" s="7"/>
      <c r="CP405" s="7"/>
      <c r="CQ405" s="7"/>
      <c r="CR405" s="7"/>
      <c r="CS405" s="7"/>
      <c r="CT405" s="7"/>
      <c r="CU405" s="7"/>
      <c r="CV405" s="7"/>
      <c r="CW405" s="7"/>
      <c r="CX405" s="7"/>
      <c r="CY405" s="7"/>
      <c r="CZ405" s="7"/>
      <c r="DA405" s="7"/>
    </row>
    <row r="406" spans="1:105"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c r="CC406" s="7"/>
      <c r="CD406" s="7"/>
      <c r="CE406" s="7"/>
      <c r="CF406" s="7"/>
      <c r="CG406" s="7"/>
      <c r="CH406" s="7"/>
      <c r="CI406" s="7"/>
      <c r="CJ406" s="7"/>
      <c r="CK406" s="7"/>
      <c r="CL406" s="7"/>
      <c r="CM406" s="7"/>
      <c r="CN406" s="7"/>
      <c r="CO406" s="7"/>
      <c r="CP406" s="7"/>
      <c r="CQ406" s="7"/>
      <c r="CR406" s="7"/>
      <c r="CS406" s="7"/>
      <c r="CT406" s="7"/>
      <c r="CU406" s="7"/>
      <c r="CV406" s="7"/>
      <c r="CW406" s="7"/>
      <c r="CX406" s="7"/>
      <c r="CY406" s="7"/>
      <c r="CZ406" s="7"/>
      <c r="DA406" s="7"/>
    </row>
    <row r="407" spans="1:105"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c r="CC407" s="7"/>
      <c r="CD407" s="7"/>
      <c r="CE407" s="7"/>
      <c r="CF407" s="7"/>
      <c r="CG407" s="7"/>
      <c r="CH407" s="7"/>
      <c r="CI407" s="7"/>
      <c r="CJ407" s="7"/>
      <c r="CK407" s="7"/>
      <c r="CL407" s="7"/>
      <c r="CM407" s="7"/>
      <c r="CN407" s="7"/>
      <c r="CO407" s="7"/>
      <c r="CP407" s="7"/>
      <c r="CQ407" s="7"/>
      <c r="CR407" s="7"/>
      <c r="CS407" s="7"/>
      <c r="CT407" s="7"/>
      <c r="CU407" s="7"/>
      <c r="CV407" s="7"/>
      <c r="CW407" s="7"/>
      <c r="CX407" s="7"/>
      <c r="CY407" s="7"/>
      <c r="CZ407" s="7"/>
      <c r="DA407" s="7"/>
    </row>
    <row r="408" spans="1:105"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c r="CC408" s="7"/>
      <c r="CD408" s="7"/>
      <c r="CE408" s="7"/>
      <c r="CF408" s="7"/>
      <c r="CG408" s="7"/>
      <c r="CH408" s="7"/>
      <c r="CI408" s="7"/>
      <c r="CJ408" s="7"/>
      <c r="CK408" s="7"/>
      <c r="CL408" s="7"/>
      <c r="CM408" s="7"/>
      <c r="CN408" s="7"/>
      <c r="CO408" s="7"/>
      <c r="CP408" s="7"/>
      <c r="CQ408" s="7"/>
      <c r="CR408" s="7"/>
      <c r="CS408" s="7"/>
      <c r="CT408" s="7"/>
      <c r="CU408" s="7"/>
      <c r="CV408" s="7"/>
      <c r="CW408" s="7"/>
      <c r="CX408" s="7"/>
      <c r="CY408" s="7"/>
      <c r="CZ408" s="7"/>
      <c r="DA408" s="7"/>
    </row>
    <row r="409" spans="1:105"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c r="CC409" s="7"/>
      <c r="CD409" s="7"/>
      <c r="CE409" s="7"/>
      <c r="CF409" s="7"/>
      <c r="CG409" s="7"/>
      <c r="CH409" s="7"/>
      <c r="CI409" s="7"/>
      <c r="CJ409" s="7"/>
      <c r="CK409" s="7"/>
      <c r="CL409" s="7"/>
      <c r="CM409" s="7"/>
      <c r="CN409" s="7"/>
      <c r="CO409" s="7"/>
      <c r="CP409" s="7"/>
      <c r="CQ409" s="7"/>
      <c r="CR409" s="7"/>
      <c r="CS409" s="7"/>
      <c r="CT409" s="7"/>
      <c r="CU409" s="7"/>
      <c r="CV409" s="7"/>
      <c r="CW409" s="7"/>
      <c r="CX409" s="7"/>
      <c r="CY409" s="7"/>
      <c r="CZ409" s="7"/>
      <c r="DA409" s="7"/>
    </row>
    <row r="410" spans="1:105"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c r="CC410" s="7"/>
      <c r="CD410" s="7"/>
      <c r="CE410" s="7"/>
      <c r="CF410" s="7"/>
      <c r="CG410" s="7"/>
      <c r="CH410" s="7"/>
      <c r="CI410" s="7"/>
      <c r="CJ410" s="7"/>
      <c r="CK410" s="7"/>
      <c r="CL410" s="7"/>
      <c r="CM410" s="7"/>
      <c r="CN410" s="7"/>
      <c r="CO410" s="7"/>
      <c r="CP410" s="7"/>
      <c r="CQ410" s="7"/>
      <c r="CR410" s="7"/>
      <c r="CS410" s="7"/>
      <c r="CT410" s="7"/>
      <c r="CU410" s="7"/>
      <c r="CV410" s="7"/>
      <c r="CW410" s="7"/>
      <c r="CX410" s="7"/>
      <c r="CY410" s="7"/>
      <c r="CZ410" s="7"/>
      <c r="DA410" s="7"/>
    </row>
    <row r="411" spans="1:105"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c r="CC411" s="7"/>
      <c r="CD411" s="7"/>
      <c r="CE411" s="7"/>
      <c r="CF411" s="7"/>
      <c r="CG411" s="7"/>
      <c r="CH411" s="7"/>
      <c r="CI411" s="7"/>
      <c r="CJ411" s="7"/>
      <c r="CK411" s="7"/>
      <c r="CL411" s="7"/>
      <c r="CM411" s="7"/>
      <c r="CN411" s="7"/>
      <c r="CO411" s="7"/>
      <c r="CP411" s="7"/>
      <c r="CQ411" s="7"/>
      <c r="CR411" s="7"/>
      <c r="CS411" s="7"/>
      <c r="CT411" s="7"/>
      <c r="CU411" s="7"/>
      <c r="CV411" s="7"/>
      <c r="CW411" s="7"/>
      <c r="CX411" s="7"/>
      <c r="CY411" s="7"/>
      <c r="CZ411" s="7"/>
      <c r="DA411" s="7"/>
    </row>
    <row r="412" spans="1:105"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7"/>
      <c r="CA412" s="7"/>
      <c r="CB412" s="7"/>
      <c r="CC412" s="7"/>
      <c r="CD412" s="7"/>
      <c r="CE412" s="7"/>
      <c r="CF412" s="7"/>
      <c r="CG412" s="7"/>
      <c r="CH412" s="7"/>
      <c r="CI412" s="7"/>
      <c r="CJ412" s="7"/>
      <c r="CK412" s="7"/>
      <c r="CL412" s="7"/>
      <c r="CM412" s="7"/>
      <c r="CN412" s="7"/>
      <c r="CO412" s="7"/>
      <c r="CP412" s="7"/>
      <c r="CQ412" s="7"/>
      <c r="CR412" s="7"/>
      <c r="CS412" s="7"/>
      <c r="CT412" s="7"/>
      <c r="CU412" s="7"/>
      <c r="CV412" s="7"/>
      <c r="CW412" s="7"/>
      <c r="CX412" s="7"/>
      <c r="CY412" s="7"/>
      <c r="CZ412" s="7"/>
      <c r="DA412" s="7"/>
    </row>
    <row r="413" spans="1:105"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c r="CC413" s="7"/>
      <c r="CD413" s="7"/>
      <c r="CE413" s="7"/>
      <c r="CF413" s="7"/>
      <c r="CG413" s="7"/>
      <c r="CH413" s="7"/>
      <c r="CI413" s="7"/>
      <c r="CJ413" s="7"/>
      <c r="CK413" s="7"/>
      <c r="CL413" s="7"/>
      <c r="CM413" s="7"/>
      <c r="CN413" s="7"/>
      <c r="CO413" s="7"/>
      <c r="CP413" s="7"/>
      <c r="CQ413" s="7"/>
      <c r="CR413" s="7"/>
      <c r="CS413" s="7"/>
      <c r="CT413" s="7"/>
      <c r="CU413" s="7"/>
      <c r="CV413" s="7"/>
      <c r="CW413" s="7"/>
      <c r="CX413" s="7"/>
      <c r="CY413" s="7"/>
      <c r="CZ413" s="7"/>
      <c r="DA413" s="7"/>
    </row>
    <row r="414" spans="1:105"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c r="CC414" s="7"/>
      <c r="CD414" s="7"/>
      <c r="CE414" s="7"/>
      <c r="CF414" s="7"/>
      <c r="CG414" s="7"/>
      <c r="CH414" s="7"/>
      <c r="CI414" s="7"/>
      <c r="CJ414" s="7"/>
      <c r="CK414" s="7"/>
      <c r="CL414" s="7"/>
      <c r="CM414" s="7"/>
      <c r="CN414" s="7"/>
      <c r="CO414" s="7"/>
      <c r="CP414" s="7"/>
      <c r="CQ414" s="7"/>
      <c r="CR414" s="7"/>
      <c r="CS414" s="7"/>
      <c r="CT414" s="7"/>
      <c r="CU414" s="7"/>
      <c r="CV414" s="7"/>
      <c r="CW414" s="7"/>
      <c r="CX414" s="7"/>
      <c r="CY414" s="7"/>
      <c r="CZ414" s="7"/>
      <c r="DA414" s="7"/>
    </row>
    <row r="415" spans="1:105"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c r="CC415" s="7"/>
      <c r="CD415" s="7"/>
      <c r="CE415" s="7"/>
      <c r="CF415" s="7"/>
      <c r="CG415" s="7"/>
      <c r="CH415" s="7"/>
      <c r="CI415" s="7"/>
      <c r="CJ415" s="7"/>
      <c r="CK415" s="7"/>
      <c r="CL415" s="7"/>
      <c r="CM415" s="7"/>
      <c r="CN415" s="7"/>
      <c r="CO415" s="7"/>
      <c r="CP415" s="7"/>
      <c r="CQ415" s="7"/>
      <c r="CR415" s="7"/>
      <c r="CS415" s="7"/>
      <c r="CT415" s="7"/>
      <c r="CU415" s="7"/>
      <c r="CV415" s="7"/>
      <c r="CW415" s="7"/>
      <c r="CX415" s="7"/>
      <c r="CY415" s="7"/>
      <c r="CZ415" s="7"/>
      <c r="DA415" s="7"/>
    </row>
    <row r="416" spans="1:105"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7"/>
      <c r="CA416" s="7"/>
      <c r="CB416" s="7"/>
      <c r="CC416" s="7"/>
      <c r="CD416" s="7"/>
      <c r="CE416" s="7"/>
      <c r="CF416" s="7"/>
      <c r="CG416" s="7"/>
      <c r="CH416" s="7"/>
      <c r="CI416" s="7"/>
      <c r="CJ416" s="7"/>
      <c r="CK416" s="7"/>
      <c r="CL416" s="7"/>
      <c r="CM416" s="7"/>
      <c r="CN416" s="7"/>
      <c r="CO416" s="7"/>
      <c r="CP416" s="7"/>
      <c r="CQ416" s="7"/>
      <c r="CR416" s="7"/>
      <c r="CS416" s="7"/>
      <c r="CT416" s="7"/>
      <c r="CU416" s="7"/>
      <c r="CV416" s="7"/>
      <c r="CW416" s="7"/>
      <c r="CX416" s="7"/>
      <c r="CY416" s="7"/>
      <c r="CZ416" s="7"/>
      <c r="DA416" s="7"/>
    </row>
    <row r="417" spans="1:105"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c r="CC417" s="7"/>
      <c r="CD417" s="7"/>
      <c r="CE417" s="7"/>
      <c r="CF417" s="7"/>
      <c r="CG417" s="7"/>
      <c r="CH417" s="7"/>
      <c r="CI417" s="7"/>
      <c r="CJ417" s="7"/>
      <c r="CK417" s="7"/>
      <c r="CL417" s="7"/>
      <c r="CM417" s="7"/>
      <c r="CN417" s="7"/>
      <c r="CO417" s="7"/>
      <c r="CP417" s="7"/>
      <c r="CQ417" s="7"/>
      <c r="CR417" s="7"/>
      <c r="CS417" s="7"/>
      <c r="CT417" s="7"/>
      <c r="CU417" s="7"/>
      <c r="CV417" s="7"/>
      <c r="CW417" s="7"/>
      <c r="CX417" s="7"/>
      <c r="CY417" s="7"/>
      <c r="CZ417" s="7"/>
      <c r="DA417" s="7"/>
    </row>
    <row r="418" spans="1:105"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c r="CC418" s="7"/>
      <c r="CD418" s="7"/>
      <c r="CE418" s="7"/>
      <c r="CF418" s="7"/>
      <c r="CG418" s="7"/>
      <c r="CH418" s="7"/>
      <c r="CI418" s="7"/>
      <c r="CJ418" s="7"/>
      <c r="CK418" s="7"/>
      <c r="CL418" s="7"/>
      <c r="CM418" s="7"/>
      <c r="CN418" s="7"/>
      <c r="CO418" s="7"/>
      <c r="CP418" s="7"/>
      <c r="CQ418" s="7"/>
      <c r="CR418" s="7"/>
      <c r="CS418" s="7"/>
      <c r="CT418" s="7"/>
      <c r="CU418" s="7"/>
      <c r="CV418" s="7"/>
      <c r="CW418" s="7"/>
      <c r="CX418" s="7"/>
      <c r="CY418" s="7"/>
      <c r="CZ418" s="7"/>
      <c r="DA418" s="7"/>
    </row>
    <row r="419" spans="1:105"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c r="CC419" s="7"/>
      <c r="CD419" s="7"/>
      <c r="CE419" s="7"/>
      <c r="CF419" s="7"/>
      <c r="CG419" s="7"/>
      <c r="CH419" s="7"/>
      <c r="CI419" s="7"/>
      <c r="CJ419" s="7"/>
      <c r="CK419" s="7"/>
      <c r="CL419" s="7"/>
      <c r="CM419" s="7"/>
      <c r="CN419" s="7"/>
      <c r="CO419" s="7"/>
      <c r="CP419" s="7"/>
      <c r="CQ419" s="7"/>
      <c r="CR419" s="7"/>
      <c r="CS419" s="7"/>
      <c r="CT419" s="7"/>
      <c r="CU419" s="7"/>
      <c r="CV419" s="7"/>
      <c r="CW419" s="7"/>
      <c r="CX419" s="7"/>
      <c r="CY419" s="7"/>
      <c r="CZ419" s="7"/>
      <c r="DA419" s="7"/>
    </row>
    <row r="420" spans="1:105"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c r="CC420" s="7"/>
      <c r="CD420" s="7"/>
      <c r="CE420" s="7"/>
      <c r="CF420" s="7"/>
      <c r="CG420" s="7"/>
      <c r="CH420" s="7"/>
      <c r="CI420" s="7"/>
      <c r="CJ420" s="7"/>
      <c r="CK420" s="7"/>
      <c r="CL420" s="7"/>
      <c r="CM420" s="7"/>
      <c r="CN420" s="7"/>
      <c r="CO420" s="7"/>
      <c r="CP420" s="7"/>
      <c r="CQ420" s="7"/>
      <c r="CR420" s="7"/>
      <c r="CS420" s="7"/>
      <c r="CT420" s="7"/>
      <c r="CU420" s="7"/>
      <c r="CV420" s="7"/>
      <c r="CW420" s="7"/>
      <c r="CX420" s="7"/>
      <c r="CY420" s="7"/>
      <c r="CZ420" s="7"/>
      <c r="DA420" s="7"/>
    </row>
    <row r="421" spans="1:105"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c r="CC421" s="7"/>
      <c r="CD421" s="7"/>
      <c r="CE421" s="7"/>
      <c r="CF421" s="7"/>
      <c r="CG421" s="7"/>
      <c r="CH421" s="7"/>
      <c r="CI421" s="7"/>
      <c r="CJ421" s="7"/>
      <c r="CK421" s="7"/>
      <c r="CL421" s="7"/>
      <c r="CM421" s="7"/>
      <c r="CN421" s="7"/>
      <c r="CO421" s="7"/>
      <c r="CP421" s="7"/>
      <c r="CQ421" s="7"/>
      <c r="CR421" s="7"/>
      <c r="CS421" s="7"/>
      <c r="CT421" s="7"/>
      <c r="CU421" s="7"/>
      <c r="CV421" s="7"/>
      <c r="CW421" s="7"/>
      <c r="CX421" s="7"/>
      <c r="CY421" s="7"/>
      <c r="CZ421" s="7"/>
      <c r="DA421" s="7"/>
    </row>
    <row r="422" spans="1:105"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c r="CC422" s="7"/>
      <c r="CD422" s="7"/>
      <c r="CE422" s="7"/>
      <c r="CF422" s="7"/>
      <c r="CG422" s="7"/>
      <c r="CH422" s="7"/>
      <c r="CI422" s="7"/>
      <c r="CJ422" s="7"/>
      <c r="CK422" s="7"/>
      <c r="CL422" s="7"/>
      <c r="CM422" s="7"/>
      <c r="CN422" s="7"/>
      <c r="CO422" s="7"/>
      <c r="CP422" s="7"/>
      <c r="CQ422" s="7"/>
      <c r="CR422" s="7"/>
      <c r="CS422" s="7"/>
      <c r="CT422" s="7"/>
      <c r="CU422" s="7"/>
      <c r="CV422" s="7"/>
      <c r="CW422" s="7"/>
      <c r="CX422" s="7"/>
      <c r="CY422" s="7"/>
      <c r="CZ422" s="7"/>
      <c r="DA422" s="7"/>
    </row>
    <row r="423" spans="1:105"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c r="CC423" s="7"/>
      <c r="CD423" s="7"/>
      <c r="CE423" s="7"/>
      <c r="CF423" s="7"/>
      <c r="CG423" s="7"/>
      <c r="CH423" s="7"/>
      <c r="CI423" s="7"/>
      <c r="CJ423" s="7"/>
      <c r="CK423" s="7"/>
      <c r="CL423" s="7"/>
      <c r="CM423" s="7"/>
      <c r="CN423" s="7"/>
      <c r="CO423" s="7"/>
      <c r="CP423" s="7"/>
      <c r="CQ423" s="7"/>
      <c r="CR423" s="7"/>
      <c r="CS423" s="7"/>
      <c r="CT423" s="7"/>
      <c r="CU423" s="7"/>
      <c r="CV423" s="7"/>
      <c r="CW423" s="7"/>
      <c r="CX423" s="7"/>
      <c r="CY423" s="7"/>
      <c r="CZ423" s="7"/>
      <c r="DA423" s="7"/>
    </row>
    <row r="424" spans="1:105"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c r="CC424" s="7"/>
      <c r="CD424" s="7"/>
      <c r="CE424" s="7"/>
      <c r="CF424" s="7"/>
      <c r="CG424" s="7"/>
      <c r="CH424" s="7"/>
      <c r="CI424" s="7"/>
      <c r="CJ424" s="7"/>
      <c r="CK424" s="7"/>
      <c r="CL424" s="7"/>
      <c r="CM424" s="7"/>
      <c r="CN424" s="7"/>
      <c r="CO424" s="7"/>
      <c r="CP424" s="7"/>
      <c r="CQ424" s="7"/>
      <c r="CR424" s="7"/>
      <c r="CS424" s="7"/>
      <c r="CT424" s="7"/>
      <c r="CU424" s="7"/>
      <c r="CV424" s="7"/>
      <c r="CW424" s="7"/>
      <c r="CX424" s="7"/>
      <c r="CY424" s="7"/>
      <c r="CZ424" s="7"/>
      <c r="DA424" s="7"/>
    </row>
    <row r="425" spans="1:105"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c r="CC425" s="7"/>
      <c r="CD425" s="7"/>
      <c r="CE425" s="7"/>
      <c r="CF425" s="7"/>
      <c r="CG425" s="7"/>
      <c r="CH425" s="7"/>
      <c r="CI425" s="7"/>
      <c r="CJ425" s="7"/>
      <c r="CK425" s="7"/>
      <c r="CL425" s="7"/>
      <c r="CM425" s="7"/>
      <c r="CN425" s="7"/>
      <c r="CO425" s="7"/>
      <c r="CP425" s="7"/>
      <c r="CQ425" s="7"/>
      <c r="CR425" s="7"/>
      <c r="CS425" s="7"/>
      <c r="CT425" s="7"/>
      <c r="CU425" s="7"/>
      <c r="CV425" s="7"/>
      <c r="CW425" s="7"/>
      <c r="CX425" s="7"/>
      <c r="CY425" s="7"/>
      <c r="CZ425" s="7"/>
      <c r="DA425" s="7"/>
    </row>
  </sheetData>
  <mergeCells count="105">
    <mergeCell ref="D141:H143"/>
    <mergeCell ref="D145:H146"/>
    <mergeCell ref="Q145:S149"/>
    <mergeCell ref="D151:H153"/>
    <mergeCell ref="D92:H95"/>
    <mergeCell ref="Q92:S97"/>
    <mergeCell ref="D60:H65"/>
    <mergeCell ref="N60:N63"/>
    <mergeCell ref="Q60:S62"/>
    <mergeCell ref="D67:H69"/>
    <mergeCell ref="Q67:S70"/>
    <mergeCell ref="D72:H73"/>
    <mergeCell ref="Q72:S75"/>
    <mergeCell ref="Q84:S86"/>
    <mergeCell ref="C7:I7"/>
    <mergeCell ref="M7:O7"/>
    <mergeCell ref="AF7:AH7"/>
    <mergeCell ref="P7:V7"/>
    <mergeCell ref="W7:Y7"/>
    <mergeCell ref="D77:H82"/>
    <mergeCell ref="N77:N80"/>
    <mergeCell ref="Q77:S79"/>
    <mergeCell ref="D30:H33"/>
    <mergeCell ref="Q30:S32"/>
    <mergeCell ref="AF5:AH6"/>
    <mergeCell ref="AI5:AK6"/>
    <mergeCell ref="AI7:AK7"/>
    <mergeCell ref="A4:B5"/>
    <mergeCell ref="C4:I5"/>
    <mergeCell ref="P5:S6"/>
    <mergeCell ref="W5:Y6"/>
    <mergeCell ref="Z5:AB6"/>
    <mergeCell ref="AF3:AK4"/>
    <mergeCell ref="A7:B7"/>
    <mergeCell ref="Z7:AB7"/>
    <mergeCell ref="J3:L6"/>
    <mergeCell ref="M3:O6"/>
    <mergeCell ref="J7:L7"/>
    <mergeCell ref="P3:Y4"/>
    <mergeCell ref="Z3:AE4"/>
    <mergeCell ref="AC7:AE7"/>
    <mergeCell ref="AC5:AE6"/>
    <mergeCell ref="D126:H128"/>
    <mergeCell ref="Q88:S90"/>
    <mergeCell ref="D107:H111"/>
    <mergeCell ref="Q107:S109"/>
    <mergeCell ref="D113:H114"/>
    <mergeCell ref="Q113:S114"/>
    <mergeCell ref="D116:H122"/>
    <mergeCell ref="Q116:S120"/>
    <mergeCell ref="D99:H101"/>
    <mergeCell ref="Q99:S105"/>
    <mergeCell ref="D135:H136"/>
    <mergeCell ref="Q135:S139"/>
    <mergeCell ref="D35:H39"/>
    <mergeCell ref="D41:H43"/>
    <mergeCell ref="D46:H48"/>
    <mergeCell ref="D50:H53"/>
    <mergeCell ref="Q50:S52"/>
    <mergeCell ref="D131:H133"/>
    <mergeCell ref="Q131:S133"/>
    <mergeCell ref="D55:H58"/>
    <mergeCell ref="D220:H221"/>
    <mergeCell ref="D223:H225"/>
    <mergeCell ref="D161:H162"/>
    <mergeCell ref="D164:H165"/>
    <mergeCell ref="D167:H168"/>
    <mergeCell ref="D157:H159"/>
    <mergeCell ref="AA270:AA271"/>
    <mergeCell ref="D252:H253"/>
    <mergeCell ref="D235:H236"/>
    <mergeCell ref="D238:H241"/>
    <mergeCell ref="D243:H244"/>
    <mergeCell ref="D246:H248"/>
    <mergeCell ref="Q246:S247"/>
    <mergeCell ref="D26:H27"/>
    <mergeCell ref="Q26:S27"/>
    <mergeCell ref="Q267:S268"/>
    <mergeCell ref="D270:H271"/>
    <mergeCell ref="Q270:S272"/>
    <mergeCell ref="Q211:S212"/>
    <mergeCell ref="D227:H233"/>
    <mergeCell ref="Q227:S228"/>
    <mergeCell ref="D191:H192"/>
    <mergeCell ref="D194:H196"/>
    <mergeCell ref="D175:H181"/>
    <mergeCell ref="Q175:S176"/>
    <mergeCell ref="D262:H265"/>
    <mergeCell ref="Q262:S263"/>
    <mergeCell ref="N262:N264"/>
    <mergeCell ref="D187:H189"/>
    <mergeCell ref="Q252:S255"/>
    <mergeCell ref="D202:H209"/>
    <mergeCell ref="Q202:S203"/>
    <mergeCell ref="D211:H218"/>
    <mergeCell ref="D10:H12"/>
    <mergeCell ref="Q10:S12"/>
    <mergeCell ref="AA10:AA11"/>
    <mergeCell ref="D14:H16"/>
    <mergeCell ref="D18:H20"/>
    <mergeCell ref="D258:H260"/>
    <mergeCell ref="Q258:S259"/>
    <mergeCell ref="D183:H185"/>
    <mergeCell ref="D22:H24"/>
    <mergeCell ref="D198:H200"/>
  </mergeCells>
  <printOptions horizontalCentered="1"/>
  <pageMargins left="0.5" right="0.25" top="0.511811023622047" bottom="0.25" header="0.511811023622047" footer="0.511811023622047"/>
  <pageSetup paperSize="9" scale="69" orientation="landscape" r:id="rId1"/>
  <headerFooter alignWithMargins="0"/>
  <rowBreaks count="4" manualBreakCount="4">
    <brk id="65" max="36" man="1"/>
    <brk id="123" max="36" man="1"/>
    <brk id="181" max="36" man="1"/>
    <brk id="241" max="3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2022-2025</vt:lpstr>
      <vt:lpstr>'2022-2025'!Print_Area</vt:lpstr>
      <vt:lpstr>'2022-2025'!Print_Titles</vt:lpstr>
    </vt:vector>
  </TitlesOfParts>
  <Company>Areng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Arkonin EMP</dc:creator>
  <cp:lastModifiedBy>Shakira Angelina Ika Putri</cp:lastModifiedBy>
  <cp:lastPrinted>2025-05-26T04:37:55Z</cp:lastPrinted>
  <dcterms:created xsi:type="dcterms:W3CDTF">2011-11-05T05:41:40Z</dcterms:created>
  <dcterms:modified xsi:type="dcterms:W3CDTF">2025-12-03T07:22:25Z</dcterms:modified>
</cp:coreProperties>
</file>